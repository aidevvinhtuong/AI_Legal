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mc:AlternateContent xmlns:mc="http://schemas.openxmlformats.org/markup-compatibility/2006">
    <mc:Choice Requires="x15">
      <x15ac:absPath xmlns:x15ac="http://schemas.microsoft.com/office/spreadsheetml/2010/11/ac" url="https://saintgobain.sharepoint.com/sites/ITVIETNAM/Documents partages/General/Digital Applications/AI/AI_Chatbot/aidev/"/>
    </mc:Choice>
  </mc:AlternateContent>
  <xr:revisionPtr revIDLastSave="542" documentId="8_{ED6DD2D8-0821-427F-A0A0-19A88B850C8B}" xr6:coauthVersionLast="47" xr6:coauthVersionMax="47" xr10:uidLastSave="{CCEF2DFE-79C9-4937-9BB3-8DE5B95CE0F7}"/>
  <bookViews>
    <workbookView xWindow="-120" yWindow="-120" windowWidth="29040" windowHeight="15720" xr2:uid="{15ADF65F-51EE-450A-8514-4A47350580ED}"/>
  </bookViews>
  <sheets>
    <sheet name="Roadmap" sheetId="6" r:id="rId1"/>
    <sheet name="Gantt_Chart" sheetId="2" r:id="rId2"/>
    <sheet name="WBS" sheetId="3" r:id="rId3"/>
    <sheet name="Ke_Hoach_Trien_Khai" sheetId="4" r:id="rId4"/>
    <sheet name="Test_Case"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3" i="2" l="1"/>
  <c r="F22" i="2"/>
  <c r="F21" i="2"/>
  <c r="F20" i="2"/>
  <c r="F19" i="2"/>
  <c r="F18" i="2"/>
  <c r="F17" i="2"/>
  <c r="F16" i="2"/>
  <c r="F15" i="2"/>
  <c r="F14" i="2"/>
  <c r="F12" i="2"/>
  <c r="F10" i="2"/>
  <c r="F9" i="2"/>
  <c r="F8" i="2"/>
  <c r="F7" i="2"/>
  <c r="F13" i="2"/>
</calcChain>
</file>

<file path=xl/sharedStrings.xml><?xml version="1.0" encoding="utf-8"?>
<sst xmlns="http://schemas.openxmlformats.org/spreadsheetml/2006/main" count="1247" uniqueCount="822">
  <si>
    <t>N</t>
  </si>
  <si>
    <t>Phase 1</t>
  </si>
  <si>
    <t>Phase 2
(26/05-30/06)</t>
  </si>
  <si>
    <t>Phase 3
(01/07-31/9)</t>
  </si>
  <si>
    <t>Phase 4
(01/10-31/12)</t>
  </si>
  <si>
    <t>Xây dựng model LLM, Embedding</t>
  </si>
  <si>
    <t>Nâng cấp model cho PROD.</t>
  </si>
  <si>
    <r>
      <rPr>
        <b/>
        <sz val="11"/>
        <color theme="1"/>
        <rFont val="Aptos Narrow"/>
        <family val="2"/>
        <scheme val="minor"/>
      </rPr>
      <t>Eshop + 5Star:</t>
    </r>
    <r>
      <rPr>
        <sz val="11"/>
        <color theme="1"/>
        <rFont val="Aptos Narrow"/>
        <family val="2"/>
        <scheme val="minor"/>
      </rPr>
      <t xml:space="preserve"> Hiển thị tin nhắn lời chào hoặc tin nhắn chứa nội dung tùy biến</t>
    </r>
  </si>
  <si>
    <r>
      <rPr>
        <b/>
        <sz val="11"/>
        <rFont val="Aptos Narrow"/>
        <family val="2"/>
        <scheme val="minor"/>
      </rPr>
      <t>Only Eshop:</t>
    </r>
    <r>
      <rPr>
        <sz val="11"/>
        <rFont val="Aptos Narrow"/>
        <family val="2"/>
        <scheme val="minor"/>
      </rPr>
      <t xml:space="preserve"> Recommendation system
AI không chỉ đợi khách hỏi, mà tự phát hiện cơ hội bán từ dữ liệu (hành vi, lịch sử, CTKM, tồn kho, mùa vụ…) rồi đề xuất hành động cụ thể để tăng khả năng phát sinh đơn.</t>
    </r>
  </si>
  <si>
    <t>Hoàn thiện kho tri thức - Knowledge base</t>
  </si>
  <si>
    <t>Màn hình CS quản lý tin nhắn với khách hàng, thầu thợ.</t>
  </si>
  <si>
    <r>
      <rPr>
        <b/>
        <sz val="11"/>
        <rFont val="Aptos Narrow"/>
        <family val="2"/>
        <scheme val="minor"/>
      </rPr>
      <t>Only 5Star:</t>
    </r>
    <r>
      <rPr>
        <sz val="11"/>
        <rFont val="Aptos Narrow"/>
        <family val="2"/>
        <scheme val="minor"/>
      </rPr>
      <t xml:space="preserve"> Hỏi AI bằng giọng nói, xử lý  speech to text</t>
    </r>
  </si>
  <si>
    <t>Học tăng cường - Reinforcement system.</t>
  </si>
  <si>
    <t>Tích hợp tính năng AI Chatbot trên hệ thống Eshop và Nhà thầu 5 sao.</t>
  </si>
  <si>
    <t>Rating, nút Like và Dislike trên mỗi câu trả lời của  AI.</t>
  </si>
  <si>
    <r>
      <rPr>
        <b/>
        <sz val="11"/>
        <rFont val="Aptos Narrow"/>
        <family val="2"/>
        <scheme val="minor"/>
      </rPr>
      <t>Only 5Star</t>
    </r>
    <r>
      <rPr>
        <sz val="11"/>
        <rFont val="Aptos Narrow"/>
        <family val="2"/>
        <scheme val="minor"/>
      </rPr>
      <t>: AI Trainning coach đồng hành cùng thầu thợ Nhà thầu 5Sao.
- Nội dung tự vấn bán hàng.
- Video hướng dẫn tư vấn.
- Cách chốt deal.
- Thông số sản phẩm</t>
    </r>
  </si>
  <si>
    <r>
      <rPr>
        <b/>
        <sz val="11"/>
        <rFont val="Aptos Narrow"/>
        <family val="2"/>
        <scheme val="minor"/>
      </rPr>
      <t>Only Eshop</t>
    </r>
    <r>
      <rPr>
        <sz val="11"/>
        <rFont val="Aptos Narrow"/>
        <family val="2"/>
        <scheme val="minor"/>
      </rPr>
      <t>: Agent proactive khi user mở app / vào màn đơn hàng:
- Phân tích lợi nhuận trên mỗi sản phẩm và đơn hàng.
- Đề xuất mua thêm sản phẩm X, số lượng Y để đạt được CTKM Z.
Upsell logic: gap-to-tier, bundle, substitute premium, cross-brand trong hệ SG</t>
    </r>
  </si>
  <si>
    <r>
      <rPr>
        <b/>
        <sz val="11"/>
        <rFont val="Aptos Narrow"/>
        <family val="2"/>
        <scheme val="minor"/>
      </rPr>
      <t>Only Eshop:</t>
    </r>
    <r>
      <rPr>
        <sz val="11"/>
        <rFont val="Aptos Narrow"/>
        <family val="2"/>
        <scheme val="minor"/>
      </rPr>
      <t xml:space="preserve"> AI Agent: tạo đơn nháp, khách hàng chỉ cần 1 cú click để tạo đơn Eshop</t>
    </r>
  </si>
  <si>
    <t>Fine - Tune Production fine-tune có kiểm soát (nếu PoC Ver 2 đạt); A/B prompt/model</t>
  </si>
  <si>
    <t>OCR Tải lên hình ảnh thực tế.
VD: Công trình, hiện trường → Gợi ý sản phẩm, giải pháp.</t>
  </si>
  <si>
    <t>Year 2026</t>
  </si>
  <si>
    <t>Month</t>
  </si>
  <si>
    <t>January</t>
  </si>
  <si>
    <t>February</t>
  </si>
  <si>
    <t>March</t>
  </si>
  <si>
    <t>April</t>
  </si>
  <si>
    <t>May</t>
  </si>
  <si>
    <t>June</t>
  </si>
  <si>
    <t>July</t>
  </si>
  <si>
    <t>August</t>
  </si>
  <si>
    <t>September</t>
  </si>
  <si>
    <t>October</t>
  </si>
  <si>
    <t>November</t>
  </si>
  <si>
    <t>December</t>
  </si>
  <si>
    <t>Dur-n (wks)</t>
  </si>
  <si>
    <t>Start
Week</t>
  </si>
  <si>
    <t>% Time</t>
  </si>
  <si>
    <t>Date</t>
  </si>
  <si>
    <t>Ind</t>
  </si>
  <si>
    <t>Activity</t>
  </si>
  <si>
    <t>week n</t>
  </si>
  <si>
    <t>Phase 3</t>
  </si>
  <si>
    <t>Hiển thị tin nhắn lời chào hoặc tin nhắn chứa nội dung tùy biến</t>
  </si>
  <si>
    <t>OCR tải ảnh thực tế  → gợi ý sản phẩm, giải pháp</t>
  </si>
  <si>
    <t>Hỏi AI bằng giọng nói – xử lý Speech to Text / Text to Speech</t>
  </si>
  <si>
    <t>Agent proactive khi mở app / vào màn đơn hàng: phân tích lợi nhuận SP &amp; đơn, upsell logic (gap-to-tier, bundle, substitute premium, cross-brand hệ SG)</t>
  </si>
  <si>
    <t>AI Agent tạo đơn nháp – khách 1 click để tạo đơn Eshop</t>
  </si>
  <si>
    <t>Phase 4</t>
  </si>
  <si>
    <t>Recommendation system – AI chủ động phát hiện cơ hội bán từ dữ liệu (hành vi, lịch sử, CTKM, tồn kho, mùa vụ) và đề xuất hành động cụ thể</t>
  </si>
  <si>
    <t>Học tăng cường (Reinforcement system) – AI Training coach đồng hành cùng thầu thợ Nhà thầu 5Sao: nội dung tự vấn bán hàng, video hướng dẫn, cách chốt deal</t>
  </si>
  <si>
    <t>Fine-Tune Production có kiểm soát (nếu PoC Ver 2 đạt) + A/B test prompt/model</t>
  </si>
  <si>
    <t>WBS — BREAKDOWN TASK CHI TIẾT THEO TUẦN (PHASE 3 &amp; 4)</t>
  </si>
  <si>
    <t>WBS ID</t>
  </si>
  <si>
    <t>Task</t>
  </si>
  <si>
    <t>Tuần</t>
  </si>
  <si>
    <t>Số ngày công</t>
  </si>
  <si>
    <t>Vai trò phụ trách</t>
  </si>
  <si>
    <t>PIC</t>
  </si>
  <si>
    <t>BRD
Chỉ mục trong tài liệu</t>
  </si>
  <si>
    <t>Output / Deliverable</t>
  </si>
  <si>
    <t>Phụ thuộc</t>
  </si>
  <si>
    <t>Status</t>
  </si>
  <si>
    <t>Deadline</t>
  </si>
  <si>
    <t>P3</t>
  </si>
  <si>
    <t>PHASE 3  (01/07/2026 - 30/09/2026)</t>
  </si>
  <si>
    <t>Lời chào hiển thị trên icon AIChat</t>
  </si>
  <si>
    <t>BRD I</t>
  </si>
  <si>
    <t>PHASE 1 - LỜI CHÀO TỪ DANH SÁCH CỐ ĐỊNH (10 câu)</t>
  </si>
  <si>
    <t>3.1.1</t>
  </si>
  <si>
    <t>Soạn nội dung 10 câu chào (phối hợp Marketing/CSKH)</t>
  </si>
  <si>
    <t>W1</t>
  </si>
  <si>
    <t>01/07-07/07</t>
  </si>
  <si>
    <t>BA</t>
  </si>
  <si>
    <t>F3.1 §1 Feature Description; §4 Business Requirements; §6 Assumptions</t>
  </si>
  <si>
    <t>Danh sách 10 câu chào (final)</t>
  </si>
  <si>
    <t>—</t>
  </si>
  <si>
    <t>3.1.2</t>
  </si>
  <si>
    <t>Thiết kế DB schema bảng cấu hình lời chào (greeting_config)</t>
  </si>
  <si>
    <t>BE</t>
  </si>
  <si>
    <t>F3.1 §1; §3 To-Be; §4 (greeting_config)</t>
  </si>
  <si>
    <t>Schema bảng greeting_config</t>
  </si>
  <si>
    <t>3.1.3</t>
  </si>
  <si>
    <t>Xây API GET /greeting trả về 1 câu (random hoặc round-robin)</t>
  </si>
  <si>
    <t>W1–W2</t>
  </si>
  <si>
    <t>01/07-14/07</t>
  </si>
  <si>
    <t>F3.1 §3 (Bước 1–2); §4 (API GET /greeting)</t>
  </si>
  <si>
    <t>API /greeting hoạt động</t>
  </si>
  <si>
    <t>3.1.4</t>
  </si>
  <si>
    <t>Logic chống lặp câu liên tiếp (lưu last_shown_index theo session/user)</t>
  </si>
  <si>
    <t>W2</t>
  </si>
  <si>
    <t>08/07-14/07</t>
  </si>
  <si>
    <t>F3.1 §3 (Bước 2 – chống lặp); §4</t>
  </si>
  <si>
    <t>Logic chống lặp</t>
  </si>
  <si>
    <t>3.1.5</t>
  </si>
  <si>
    <t>Xây FE Tạo, Sửa để chỉnh sửa lời chào (cấu hình từ FE, BE đọc theo)</t>
  </si>
  <si>
    <t>FE</t>
  </si>
  <si>
    <t>F3.1 §3; §4 (FE cấu hình lời chào)</t>
  </si>
  <si>
    <t>CMS module (CRUD 10 câu)</t>
  </si>
  <si>
    <t>3.1.6</t>
  </si>
  <si>
    <t>Dựng component ChatWidget (Icon + Bubble UI)</t>
  </si>
  <si>
    <t>W2–W3</t>
  </si>
  <si>
    <t>08/07-21/07</t>
  </si>
  <si>
    <t>F3.1 §1; §3 (ChatWidget / Bubble)</t>
  </si>
  <si>
    <t>Component UI</t>
  </si>
  <si>
    <t>Design approved</t>
  </si>
  <si>
    <t>3.1.7</t>
  </si>
  <si>
    <t>Gọi API lấy câu chào, hiển thị vào bubble</t>
  </si>
  <si>
    <t>W3</t>
  </si>
  <si>
    <t>15/07-21/07</t>
  </si>
  <si>
    <t>F3.1 §3 (Bước 1–3)</t>
  </si>
  <si>
    <t>Bubble hiện đúng nội dung API trả về</t>
  </si>
  <si>
    <t>3.1.3, 3.1.6</t>
  </si>
  <si>
    <t>3.1.8</t>
  </si>
  <si>
    <t>Logic trigger: delay hiện sau login, auto-hide, dismiss theo session</t>
  </si>
  <si>
    <t>F3.1 §3 (Bước 3–5: delay / auto-hide / dismiss)</t>
  </si>
  <si>
    <t>Trigger logic hoàn chỉnh</t>
  </si>
  <si>
    <t>3.1.9</t>
  </si>
  <si>
    <t>Responsive cho mobile</t>
  </si>
  <si>
    <t>W3–W4</t>
  </si>
  <si>
    <t>15/07-28/07</t>
  </si>
  <si>
    <t>F3.1 §3; §4 (responsive)</t>
  </si>
  <si>
    <t>UI responsive</t>
  </si>
  <si>
    <t>3.1.10</t>
  </si>
  <si>
    <t>Tích hợp GA4 event tracking (đo CTR, dismiss rate)</t>
  </si>
  <si>
    <t>W4</t>
  </si>
  <si>
    <t>22/07-28/07</t>
  </si>
  <si>
    <t>F3.1 §3 (Bước 6); §4; §5 (GA4 / CTR)</t>
  </si>
  <si>
    <t>Event tracking hoạt động</t>
  </si>
  <si>
    <t>3.1.11</t>
  </si>
  <si>
    <t>QA/Testing Phase 1 (functional, regression, cross-browser/mobile)</t>
  </si>
  <si>
    <t>QA</t>
  </si>
  <si>
    <t>F3.1 §5 Success Criteria</t>
  </si>
  <si>
    <t>Test report, bug list đã fix</t>
  </si>
  <si>
    <t>3.1.3 → 3.1.10</t>
  </si>
  <si>
    <t>3.1.12</t>
  </si>
  <si>
    <t>UAT &amp; Deploy/Release Phase 1</t>
  </si>
  <si>
    <t>W4–W5</t>
  </si>
  <si>
    <t>22/07-04/08</t>
  </si>
  <si>
    <t>PM/DevOps</t>
  </si>
  <si>
    <t>F3.1 §5; §6</t>
  </si>
  <si>
    <t>Phase 1 live trên production</t>
  </si>
  <si>
    <t>PHASE 2 - LỜI CHÀO CÓ CHỦ ĐÍCH (DATA-DRIVEN)</t>
  </si>
  <si>
    <t>3.2.1</t>
  </si>
  <si>
    <t>BA đặc tả chi tiết từng loại thông báo (CTKM mới, nhắc quét mã, điểm sắp hết hạn, giỏ hàng bỏ quên...)</t>
  </si>
  <si>
    <t>W7</t>
  </si>
  <si>
    <t>12/08-18/08</t>
  </si>
  <si>
    <t>Business Rules từng use case</t>
  </si>
  <si>
    <t>Kết quả Phase 1 ổn định</t>
  </si>
  <si>
    <t>Not Started</t>
  </si>
  <si>
    <t>3.2.2</t>
  </si>
  <si>
    <t>Thiết kế rule độ ưu tiên (priority) khi khách match nhiều điều kiện cùng lúc</t>
  </si>
  <si>
    <t>Bảng priority rule</t>
  </si>
  <si>
    <t>3.2.3</t>
  </si>
  <si>
    <t>Thiết kế bảng notification_log (chống lặp thông báo đã hiện)</t>
  </si>
  <si>
    <t>W7–W8</t>
  </si>
  <si>
    <t>12/08-25/08</t>
  </si>
  <si>
    <t>Schema notification_log</t>
  </si>
  <si>
    <t>3.2.4</t>
  </si>
  <si>
    <t>Xây query/rule engine đọc dữ liệu CTKM từ bảng promotions</t>
  </si>
  <si>
    <t>W8</t>
  </si>
  <si>
    <t>19/08-25/08</t>
  </si>
  <si>
    <t>Rule CTKM hoạt động</t>
  </si>
  <si>
    <t>3.2.5</t>
  </si>
  <si>
    <t>Xây query/rule engine kiểm tra khách chưa quét mã tích điểm &gt; N ngày</t>
  </si>
  <si>
    <t>W8–W9</t>
  </si>
  <si>
    <t>19/08-01/09</t>
  </si>
  <si>
    <t>Rule nhắc quét mã hoạt động</t>
  </si>
  <si>
    <t>3.2.6</t>
  </si>
  <si>
    <t>Xây query/rule engine điểm sắp hết hạn, giỏ hàng bỏ quên (nếu áp dụng)</t>
  </si>
  <si>
    <t>W9</t>
  </si>
  <si>
    <t>26/08-01/09</t>
  </si>
  <si>
    <t>Rule bổ sung hoạt động</t>
  </si>
  <si>
    <t>3.2.7</t>
  </si>
  <si>
    <t>Đánh giá hiệu năng: real-time query vs batch job pre-compute</t>
  </si>
  <si>
    <t>Quyết định kiến trúc (batch/real-time)</t>
  </si>
  <si>
    <t>3.2.4, 3.2.5, 3.2.6</t>
  </si>
  <si>
    <t>3.2.8</t>
  </si>
  <si>
    <t>Xây batch job định kỳ pre-compute &amp; cache message theo user (nếu chọn batch)</t>
  </si>
  <si>
    <t>W10</t>
  </si>
  <si>
    <t>02/09-08/09</t>
  </si>
  <si>
    <t>Batch job chạy ổn định</t>
  </si>
  <si>
    <t>3.2.9</t>
  </si>
  <si>
    <t>Nâng cấp API /greeting: trả message chủ đích nếu có, fallback về 10 câu tĩnh nếu không</t>
  </si>
  <si>
    <t>W10–W11</t>
  </si>
  <si>
    <t>02/09-15/09</t>
  </si>
  <si>
    <t>API /greeting v2</t>
  </si>
  <si>
    <t>3.2.10</t>
  </si>
  <si>
    <t>Cập nhật ChatWidget nhận thêm field loại thông báo (type, CTA link)</t>
  </si>
  <si>
    <t>W11</t>
  </si>
  <si>
    <t>09/09-15/09</t>
  </si>
  <si>
    <t>Component hỗ trợ nhiều loại message</t>
  </si>
  <si>
    <t>3.2.11</t>
  </si>
  <si>
    <t>Xử lý CTA trong bubble (VD: click vào mở trang quét mã / trang CTKM)</t>
  </si>
  <si>
    <t>CTA hoạt động đúng</t>
  </si>
  <si>
    <t>3.2.12</t>
  </si>
  <si>
    <t>Cập nhật GA4 tracking phân loại theo từng loại thông báo</t>
  </si>
  <si>
    <t>W11–W12</t>
  </si>
  <si>
    <t>09/09-22/09</t>
  </si>
  <si>
    <t>Tracking chi tiết theo loại msg</t>
  </si>
  <si>
    <t>3.2.13</t>
  </si>
  <si>
    <t>QA/Testing Phase 2 (functional, regression, rule engine, cross-browser/mobile)</t>
  </si>
  <si>
    <t>W12</t>
  </si>
  <si>
    <t>16/09-22/09</t>
  </si>
  <si>
    <t>3.2.9 → 3.2.12</t>
  </si>
  <si>
    <t>3.2.14</t>
  </si>
  <si>
    <t>UAT &amp; Deploy/Release Phase 2</t>
  </si>
  <si>
    <t>W12–W13</t>
  </si>
  <si>
    <t>16/09-30/09</t>
  </si>
  <si>
    <t>Phase 2 live trên production</t>
  </si>
  <si>
    <t>OCR tải ảnh thực tế → gợi ý sản phẩm, giải pháp</t>
  </si>
  <si>
    <t>Tuần 27-30</t>
  </si>
  <si>
    <t>4 tuần | Tuần 27-30</t>
  </si>
  <si>
    <t>Thu thập yêu cầu nghiệp vụ (loại lỗi/sản phẩm cần nhận diện) + thu thập bộ ảnh mẫu thực tế</t>
  </si>
  <si>
    <t>Tuần 27</t>
  </si>
  <si>
    <t>BA + SME kỹ thuật</t>
  </si>
  <si>
    <t>Business Requirement + bộ ảnh mẫu (~100-150 ảnh)</t>
  </si>
  <si>
    <t>Thiết kế prompt template chuẩn (structured JSON output) + few-shot examples cho Vision-LLM</t>
  </si>
  <si>
    <t>AI/Prompt Engineer</t>
  </si>
  <si>
    <t>Bộ prompt template v1</t>
  </si>
  <si>
    <t>Xây dựng Knowledge Base (catalogue, TDS, bảng giải pháp theo loại lỗi) cho RAG</t>
  </si>
  <si>
    <t>Tuần 27-28</t>
  </si>
  <si>
    <t>Data/Knowledge Engineer</t>
  </si>
  <si>
    <t>KB sẵn sàng cho RAG</t>
  </si>
  <si>
    <t>Tích hợp API Vision-LLM (Claude/GPT-4V) vào chatbot backend</t>
  </si>
  <si>
    <t>Tuần 28</t>
  </si>
  <si>
    <t>Backend Dev</t>
  </si>
  <si>
    <t>API tích hợp thành công</t>
  </si>
  <si>
    <t>Xây dựng pipeline RAG (map kết quả nhận diện ảnh ↔ Knowledge Base)</t>
  </si>
  <si>
    <t>Backend + AI Engineer</t>
  </si>
  <si>
    <t>Pipeline RAG hoạt động</t>
  </si>
  <si>
    <t>3.1.3, 3.1.4</t>
  </si>
  <si>
    <t>Xây dựng cơ chế hỏi lại làm rõ (clarification loop) + hiển thị độ tin cậy</t>
  </si>
  <si>
    <t>Tuần 28-29</t>
  </si>
  <si>
    <t>Logic hỏi-đáp nhiều vòng</t>
  </si>
  <si>
    <t>Thiết kế UI upload ảnh (hướng dẫn chụp ảnh chuẩn, preview)</t>
  </si>
  <si>
    <t>Frontend + UX</t>
  </si>
  <si>
    <t>Giao diện upload ảnh</t>
  </si>
  <si>
    <t>Tích hợp end-to-end (UI + Backend + LLM + KB)</t>
  </si>
  <si>
    <t>Tuần 29</t>
  </si>
  <si>
    <t>Backend + Frontend Dev</t>
  </si>
  <si>
    <t>Bản demo chatbot hoàn chỉnh</t>
  </si>
  <si>
    <t>3.1.5, 3.1.6, 3.1.7</t>
  </si>
  <si>
    <t>Kiểm thử nội bộ với ảnh thật + tinh chỉnh prompt/KB theo kết quả</t>
  </si>
  <si>
    <t>QA/Tester + AI Engineer</t>
  </si>
  <si>
    <t>Báo cáo kiểm thử + prompt/KB v2</t>
  </si>
  <si>
    <t>UAT với đội kỹ thuật/khách hàng nội bộ Saint-Gobain</t>
  </si>
  <si>
    <t>Tuần 30</t>
  </si>
  <si>
    <t>BA + SME + PM</t>
  </si>
  <si>
    <t>Biên bản UAT</t>
  </si>
  <si>
    <t>Go-live Pilot + thiết lập cơ chế thu thập log ảnh/feedback (làm nền train model tương lai)</t>
  </si>
  <si>
    <t>PM + Backend Dev</t>
  </si>
  <si>
    <t>Hệ thống chạy pilot + pipeline thu thập dữ liệu</t>
  </si>
  <si>
    <t>Hỏi AI bằng giọng nói (Speech to Text / Text to Speech)</t>
  </si>
  <si>
    <t>BRD II.7 + II.8</t>
  </si>
  <si>
    <t>3.3.1</t>
  </si>
  <si>
    <t>Khảo sát &amp; chọn STT engine theo rubric đánh giá (Azure/Google/Whisper)</t>
  </si>
  <si>
    <t>T31</t>
  </si>
  <si>
    <t>Backend</t>
  </si>
  <si>
    <t>Phuong</t>
  </si>
  <si>
    <t>7.1, 7.2, 7.9</t>
  </si>
  <si>
    <t>Quyết định công nghệ STT (theo rubric PoC — xem mục 7.2 BRD v0.5)</t>
  </si>
  <si>
    <t>3.3.2</t>
  </si>
  <si>
    <t>Đánh giá độ chính xác STT tiếng Việt đa vùng miền (Bắc/Trung/Nam) &amp; môi trường nhiễu</t>
  </si>
  <si>
    <t>Khanh</t>
  </si>
  <si>
    <t>7.7</t>
  </si>
  <si>
    <t>Báo cáo độ chính xác theo vùng miền</t>
  </si>
  <si>
    <t>3.3.3</t>
  </si>
  <si>
    <t>Thiết kế luồng tương tác voice trong chat hiện có (kèm bước xác nhận transcript &amp; consent giọng nói)</t>
  </si>
  <si>
    <t>7.3, 8.2, 8.3, 8.6</t>
  </si>
  <si>
    <t>Sơ đồ luồng voice (kèm bước xác nhận + consent)</t>
  </si>
  <si>
    <t>3.3.4</t>
  </si>
  <si>
    <t>Bổ sung ghi chú: gửi tự động ngay khi qua ngưỡng confidence, không chờ bước xác nhận</t>
  </si>
  <si>
    <t>T32</t>
  </si>
  <si>
    <t xml:space="preserve">7.3, 7.4, 7.5, 7.7, 8.5 </t>
  </si>
  <si>
    <t>STT hoạt động trong chat, tích hợp với API chat 5Star hiện có (⚠ chờ Tech Lead 5Star xác nhận contract — open item)</t>
  </si>
  <si>
    <t>3.3.4b</t>
  </si>
  <si>
    <t xml:space="preserve"> Xây cơ chế chặn gửi AI khi confidence thấp/transcript rỗng (BE) + xử lý toast/log (FE); Output: "BE chặn đúng khi transcript rỗng hoặc confidence &lt; ngưỡng (đề xuất 40%, chốt cùng PoC 3.3.1); FE hiện toast, không tạo bong bóng chat, quay về IDLE; log blocked_low_confidence hoạt động"</t>
  </si>
  <si>
    <t>7.7, 8.2, 8.3</t>
  </si>
  <si>
    <t>Cơ chế hiển thị transcript 2 giây + nút Hủy hoạt động đúng</t>
  </si>
  <si>
    <t>3.3.5</t>
  </si>
  <si>
    <t>Xác nhận AI trả lời bằng text qua API chat hiện có (không TTS, không xử lý AI riêng cho input voice)</t>
  </si>
  <si>
    <t>BR-3.3-08, BR-3.3-17</t>
  </si>
  <si>
    <t>Xác nhận không cần thay đổi logic AI; TTS = Out of Scope (đã sửa mâu thuẫn: task cũ ghi 'text' nhưng output cũ ghi 'TTS phản hồi giọng nói')</t>
  </si>
  <si>
    <t>3.3.5b</t>
  </si>
  <si>
    <t>Xây màn hình xin đồng ý xử lý dữ liệu giọng nói (consent) (BR-3.3-19)</t>
  </si>
  <si>
    <t>8.6</t>
  </si>
  <si>
    <t>Màn hình consent + log đồng ý/từ chối</t>
  </si>
  <si>
    <t>3.3.6</t>
  </si>
  <si>
    <t>Xây UI microphone (nút mic, waveform, đồng hồ đếm tối đa 60s)</t>
  </si>
  <si>
    <t>8.2, 8.3, 8.6</t>
  </si>
  <si>
    <t>Nút mic trên app</t>
  </si>
  <si>
    <t>3.3.7</t>
  </si>
  <si>
    <t>Tối ưu độ trễ xử lý</t>
  </si>
  <si>
    <t>T33</t>
  </si>
  <si>
    <t>Latency đạt mục tiêu (≤5s end-to-end)</t>
  </si>
  <si>
    <t>3.2.4, 3.2.5</t>
  </si>
  <si>
    <t>3.3.8</t>
  </si>
  <si>
    <t>Xử lý nhiễu nền/âm thanh môi trường</t>
  </si>
  <si>
    <t>7.7, 8.4</t>
  </si>
  <si>
    <t>Cải thiện độ ổn định nhận diện</t>
  </si>
  <si>
    <t>3.3.8b</t>
  </si>
  <si>
    <t>Xây cơ chế giám sát &amp; cảnh báo chi phí STT theo ngưỡng ngân sách (BR-3.3-20)</t>
  </si>
  <si>
    <t>7.8, 7.10</t>
  </si>
  <si>
    <t>Cost monitor + cảnh báo khi đạt ngưỡng % ngân sách</t>
  </si>
  <si>
    <t>3.3.9</t>
  </si>
  <si>
    <t>Test đa giọng vùng miền, cơ chế chặn khi confidence thấp/transcript rỗng &amp; consent, hoàn thiện UI</t>
  </si>
  <si>
    <t>Báo cáo test hoàn chỉnh (bao gồm test hủy transcript &amp; consent)</t>
  </si>
  <si>
    <t>3.2.6, 3.2.8, 3.3.4b, 3.3.5b</t>
  </si>
  <si>
    <t>Agent proactive: phân tích lợi nhuận &amp; upsell logic</t>
  </si>
  <si>
    <t>4 tuần | Tuần 34-37</t>
  </si>
  <si>
    <t>3.4.1</t>
  </si>
  <si>
    <t>Khảo sát &amp; chuẩn hoá dữ liệu ERP/CRM (giá vốn, giá bán, CTKM, tồn kho)</t>
  </si>
  <si>
    <t>T34</t>
  </si>
  <si>
    <t>Bộ dữ liệu chuẩn hoá</t>
  </si>
  <si>
    <t>3.4.2</t>
  </si>
  <si>
    <t>Thiết kế data schema cho engine phân tích lợi nhuận</t>
  </si>
  <si>
    <t>Schema dữ liệu</t>
  </si>
  <si>
    <t>3.4.3</t>
  </si>
  <si>
    <t>Xây engine tính gap-to-tier (khoảng cách đạt mốc CTKM)</t>
  </si>
  <si>
    <t>T35</t>
  </si>
  <si>
    <t>AI/Data Engineer</t>
  </si>
  <si>
    <t>Engine gap-to-tier</t>
  </si>
  <si>
    <t>3.4.4</t>
  </si>
  <si>
    <t>Xây logic bundle &amp; substitute premium</t>
  </si>
  <si>
    <t>Logic bundle/substitute</t>
  </si>
  <si>
    <t>3.4.5</t>
  </si>
  <si>
    <t>Xây cross-brand logic trong hệ SG</t>
  </si>
  <si>
    <t>T36</t>
  </si>
  <si>
    <t>Logic cross-brand</t>
  </si>
  <si>
    <t>3.4.6</t>
  </si>
  <si>
    <t>Xây API đề xuất trả về hành động cụ thể (SP X, số lượng Y)</t>
  </si>
  <si>
    <t>API đề xuất hành động</t>
  </si>
  <si>
    <t>3.3.3, 3.3.4, 3.3.5</t>
  </si>
  <si>
    <t>3.4.7</t>
  </si>
  <si>
    <t>Tích hợp trigger proactive khi mở app / màn đơn hàng</t>
  </si>
  <si>
    <t>T37</t>
  </si>
  <si>
    <t>FE/Backend</t>
  </si>
  <si>
    <t>Trigger hoạt động trên app</t>
  </si>
  <si>
    <t>3.4.8</t>
  </si>
  <si>
    <t>Test với dữ liệu thật</t>
  </si>
  <si>
    <t>Báo cáo test thực tế</t>
  </si>
  <si>
    <t>3.4.9</t>
  </si>
  <si>
    <t>Tinh chỉnh ngưỡng đề xuất</t>
  </si>
  <si>
    <t>AI Engineer/BA</t>
  </si>
  <si>
    <t>Ngưỡng đề xuất tối ưu</t>
  </si>
  <si>
    <t>AI Agent tạo đơn nháp – 1 click tạo đơn Eshop</t>
  </si>
  <si>
    <t>2 tuần | Tuần 38-39</t>
  </si>
  <si>
    <t>3.5.1</t>
  </si>
  <si>
    <t>Audit cấu trúc thuộc tính hiện có trong PIM/ERP (độ dày, kích thước, tính năng...)</t>
  </si>
  <si>
    <t>Data/PIM Team</t>
  </si>
  <si>
    <t>Báo cáo audit thuộc tính SKU</t>
  </si>
  <si>
    <t>-</t>
  </si>
  <si>
    <t>Chưa bắt đầu</t>
  </si>
  <si>
    <t>3.5.2</t>
  </si>
  <si>
    <t>Chuẩn hóa danh sách thuộc tính bắt buộc / tùy chọn theo từng ngành hàng</t>
  </si>
  <si>
    <t>Product + Data Team</t>
  </si>
  <si>
    <t>Bảng schema thuộc tính theo ngành hàng</t>
  </si>
  <si>
    <t>1.1</t>
  </si>
  <si>
    <t>3.5.3</t>
  </si>
  <si>
    <t>Rà soát &amp; bổ sung thuộc tính còn thiếu cho các SKU hiện hữu</t>
  </si>
  <si>
    <t>PIM cập nhật đầy đủ thuộc tính</t>
  </si>
  <si>
    <t>1.2</t>
  </si>
  <si>
    <t>3.5.4</t>
  </si>
  <si>
    <t>Thiết lập quy trình bắt buộc điền thuộc tính + alias khi tạo SKU mới</t>
  </si>
  <si>
    <t>Product Team</t>
  </si>
  <si>
    <t>SOP quy trình tạo SKU mới</t>
  </si>
  <si>
    <t>3.5.5</t>
  </si>
  <si>
    <t>Thu thập từ ngữ/cách gọi thực tế của thầu thợ, đại lý ngoài công trường</t>
  </si>
  <si>
    <t>Sales + Kỹ thuật</t>
  </si>
  <si>
    <t>Danh sách alias thô theo ngành hàng</t>
  </si>
  <si>
    <t>3.5.6</t>
  </si>
  <si>
    <t>Xây dựng Alias Dictionary (map ngôn ngữ công trường → thuộc tính chuẩn PIM)</t>
  </si>
  <si>
    <t>W3-W4</t>
  </si>
  <si>
    <t>Data Team + Sales</t>
  </si>
  <si>
    <t>Alias Dictionary v1</t>
  </si>
  <si>
    <t>2.1</t>
  </si>
  <si>
    <t>3.5.7</t>
  </si>
  <si>
    <t>Thiết kế schema trích xuất thuộc tính (JSON) cho AI Agent</t>
  </si>
  <si>
    <t>AI/Team</t>
  </si>
  <si>
    <t>JSON Schema trích xuất thuộc tính</t>
  </si>
  <si>
    <t>3.5.8</t>
  </si>
  <si>
    <t>Phát triển prompt/logic structured extraction (câu nói → JSON thuộc tính)</t>
  </si>
  <si>
    <t>W4-W5</t>
  </si>
  <si>
    <t>Module extraction v1</t>
  </si>
  <si>
    <t>2.2, 2.3</t>
  </si>
  <si>
    <t>3.5.9</t>
  </si>
  <si>
    <t>Xây dựng query engine tra cứu PIM real-time theo thuộc tính đã trích xuất</t>
  </si>
  <si>
    <t>W5</t>
  </si>
  <si>
    <t>Team (Backend)</t>
  </si>
  <si>
    <t>API query PIM theo thuộc tính</t>
  </si>
  <si>
    <t>2.3</t>
  </si>
  <si>
    <t>3.5.10</t>
  </si>
  <si>
    <t>Thiết kế cơ chế phân loại độ tin cậy (match 1 SKU / nhiều SKU / không match)</t>
  </si>
  <si>
    <t>W5-W6</t>
  </si>
  <si>
    <t>Logic confidence &amp; rule hỏi lại</t>
  </si>
  <si>
    <t>2.4, 2.5</t>
  </si>
  <si>
    <t>3.5.11</t>
  </si>
  <si>
    <t>Thiết kế UX thẻ sản phẩm xác nhận (product confirmation card)</t>
  </si>
  <si>
    <t>W6</t>
  </si>
  <si>
    <t>UX/UI</t>
  </si>
  <si>
    <t>Wireframe + UI thẻ xác nhận</t>
  </si>
  <si>
    <t>2.6</t>
  </si>
  <si>
    <t>3.5.12</t>
  </si>
  <si>
    <t>Thiết kế luồng hỏi lại khi thiếu/mơ hồ thuộc tính (gợi ý nút chọn nhanh)</t>
  </si>
  <si>
    <t>Wireframe luồng hỏi lại</t>
  </si>
  <si>
    <t>3.5.13</t>
  </si>
  <si>
    <t>Thiết kế màn hình tổng hợp đơn nháp (xác nhận hàng loạt trước khi tạo đơn)</t>
  </si>
  <si>
    <t>W6-W7</t>
  </si>
  <si>
    <t>Wireframe màn hình đơn nháp</t>
  </si>
  <si>
    <t>3.1</t>
  </si>
  <si>
    <t>3.5.14</t>
  </si>
  <si>
    <t>Review UX cùng Sales/Product &amp; đại diện đại lý (nếu có)</t>
  </si>
  <si>
    <t>PM + Sales</t>
  </si>
  <si>
    <t>Biên bản review UX</t>
  </si>
  <si>
    <t>3.3</t>
  </si>
  <si>
    <t>3.5.15</t>
  </si>
  <si>
    <t>Phát triển giao diện chat + gợi ý xác nhận (frontend)</t>
  </si>
  <si>
    <t>W7-W8</t>
  </si>
  <si>
    <t>Team (Frontend)</t>
  </si>
  <si>
    <t>Module chat UI hoàn chỉnh</t>
  </si>
  <si>
    <t>3.4</t>
  </si>
  <si>
    <t>3.5.16</t>
  </si>
  <si>
    <t>Tích hợp module extraction + query engine vào luồng chat</t>
  </si>
  <si>
    <t>Luồng end-to-end nhận diện SKU</t>
  </si>
  <si>
    <t>2.6, 4.1</t>
  </si>
  <si>
    <t>3.5.17</t>
  </si>
  <si>
    <t>Phát triển chức năng tạo đơn nháp &amp; đẩy đơn sang Eshop/ERP</t>
  </si>
  <si>
    <t>W8-W9</t>
  </si>
  <si>
    <t>API tạo đơn nháp + đẩy ERP</t>
  </si>
  <si>
    <t>4.2</t>
  </si>
  <si>
    <t>3.5.18</t>
  </si>
  <si>
    <t>Xây dựng cơ chế học theo lịch sử mua hàng (ưu tiên gợi ý theo thói quen)</t>
  </si>
  <si>
    <t>Module cá nhân hóa gợi ý</t>
  </si>
  <si>
    <t>4.3</t>
  </si>
  <si>
    <t>3.5.19</t>
  </si>
  <si>
    <t>Thiết lập logging &amp; feedback loop (ghi nhận câu hỏi AI chưa hiểu)</t>
  </si>
  <si>
    <t>Team</t>
  </si>
  <si>
    <t>Hệ thống log + dashboard feedback</t>
  </si>
  <si>
    <t>3.5.20</t>
  </si>
  <si>
    <t>Kiểm thử nội bộ (unit test + test luồng end-to-end)</t>
  </si>
  <si>
    <t>QA Team</t>
  </si>
  <si>
    <t>Báo cáo test nội bộ</t>
  </si>
  <si>
    <t>4.3, 4.4</t>
  </si>
  <si>
    <t>3.5.21</t>
  </si>
  <si>
    <t>Chọn nhóm sản phẩm pilot (ít biến thể) &amp; nhóm đại lý pilot</t>
  </si>
  <si>
    <t>Danh sách phạm vi pilot</t>
  </si>
  <si>
    <t>5.1</t>
  </si>
  <si>
    <t>3.5.22</t>
  </si>
  <si>
    <t>Triển khai pilot thực tế với đại lý</t>
  </si>
  <si>
    <t>W11-W12</t>
  </si>
  <si>
    <t>PM + Sales + Dev</t>
  </si>
  <si>
    <t>Kết quả pilot + số liệu first-match accuracy</t>
  </si>
  <si>
    <t>5.2</t>
  </si>
  <si>
    <t>3.5.23</t>
  </si>
  <si>
    <t>Thu thập &amp; bổ sung alias dictionary từ log thực tế pilot</t>
  </si>
  <si>
    <t>W12-W13</t>
  </si>
  <si>
    <t>Data Team</t>
  </si>
  <si>
    <t>Alias Dictionary v2</t>
  </si>
  <si>
    <t>5.3, 4.5</t>
  </si>
  <si>
    <t>3.5.24</t>
  </si>
  <si>
    <t>Đánh giá kết quả pilot (first-match accuracy, số lần hỏi lại/đơn)</t>
  </si>
  <si>
    <t>W13</t>
  </si>
  <si>
    <t>PM</t>
  </si>
  <si>
    <t>Báo cáo đánh giá pilot</t>
  </si>
  <si>
    <t>5.3, 5.4</t>
  </si>
  <si>
    <t>3.5.25</t>
  </si>
  <si>
    <t>Tối ưu logic dựa trên kết quả pilot (ngưỡng accuracy ≥ 80-85%)</t>
  </si>
  <si>
    <t>W14</t>
  </si>
  <si>
    <t>Module extraction v2 tối ưu</t>
  </si>
  <si>
    <t>5.5</t>
  </si>
  <si>
    <t>3.5.26</t>
  </si>
  <si>
    <t>Mở rộng sang các nhóm sản phẩm phức tạp hơn</t>
  </si>
  <si>
    <t>W14-W15</t>
  </si>
  <si>
    <t>Data + AI Team</t>
  </si>
  <si>
    <t>Alias Dictionary mở rộng toàn ngành hàng</t>
  </si>
  <si>
    <t>6.1</t>
  </si>
  <si>
    <t>3.5.27</t>
  </si>
  <si>
    <t>Đào tạo đội Sales/CSKH vận hành &amp; xử lý ngoại lệ</t>
  </si>
  <si>
    <t>W15</t>
  </si>
  <si>
    <t>Tài liệu đào tạo + buổi training</t>
  </si>
  <si>
    <t>6.2</t>
  </si>
  <si>
    <t>3.5.28</t>
  </si>
  <si>
    <t>UAT &amp; nghiệm thu trước Go-live</t>
  </si>
  <si>
    <t>QA + PM</t>
  </si>
  <si>
    <t>Biên bản nghiệm thu UAT</t>
  </si>
  <si>
    <t>6.2, 6.3</t>
  </si>
  <si>
    <t>3.5.29</t>
  </si>
  <si>
    <t>Go-live chính thức toàn bộ tính năng</t>
  </si>
  <si>
    <t>W16</t>
  </si>
  <si>
    <t>Tính năng chạy chính thức trên Eshop</t>
  </si>
  <si>
    <t>6.4</t>
  </si>
  <si>
    <t>3.5.30</t>
  </si>
  <si>
    <t>Theo dõi vận hành &amp; tối ưu liên tục sau Go-live (30 ngày đầu)</t>
  </si>
  <si>
    <t>W16-W20</t>
  </si>
  <si>
    <t>PM + AI/Team</t>
  </si>
  <si>
    <t>Báo cáo vận hành sau Go-live</t>
  </si>
  <si>
    <t>6.5</t>
  </si>
  <si>
    <t>P4</t>
  </si>
  <si>
    <t>PHASE 4  (01/10/2026 - 31/12/2026)</t>
  </si>
  <si>
    <t>4.1</t>
  </si>
  <si>
    <t>Recommendation system (AI chủ động đề xuất bán hàng)</t>
  </si>
  <si>
    <t>5 tuần | Tuần 40-44</t>
  </si>
  <si>
    <t>4.1.1</t>
  </si>
  <si>
    <t>Kiểm kê &amp; hợp nhất dữ liệu hành vi/lịch sử/CTKM/tồn kho/mùa vụ</t>
  </si>
  <si>
    <t>T40</t>
  </si>
  <si>
    <t>Data Engineer</t>
  </si>
  <si>
    <t>Dữ liệu hợp nhất</t>
  </si>
  <si>
    <t>4.1.2</t>
  </si>
  <si>
    <t>Thiết kế data warehouse / feature store</t>
  </si>
  <si>
    <t>Feature store sẵn sàng</t>
  </si>
  <si>
    <t>4.1.3</t>
  </si>
  <si>
    <t>Feature engineering</t>
  </si>
  <si>
    <t>T41</t>
  </si>
  <si>
    <t>AI Engineer</t>
  </si>
  <si>
    <t>Bộ feature phục vụ model</t>
  </si>
  <si>
    <t>4.1.4</t>
  </si>
  <si>
    <t>Chọn thuật toán (collaborative filtering/ranking/gradient boosting)</t>
  </si>
  <si>
    <t>Quyết định thuật toán</t>
  </si>
  <si>
    <t>4.1.5</t>
  </si>
  <si>
    <t>Train model offline</t>
  </si>
  <si>
    <t>T42</t>
  </si>
  <si>
    <t>Model v1 đã train</t>
  </si>
  <si>
    <t>4.1.6</t>
  </si>
  <si>
    <t>Đánh giá model (precision/recall, uplift dự kiến)</t>
  </si>
  <si>
    <t>Báo cáo đánh giá model</t>
  </si>
  <si>
    <t>4.1.7</t>
  </si>
  <si>
    <t>Xây API/service serving đề xuất real-time</t>
  </si>
  <si>
    <t>T43</t>
  </si>
  <si>
    <t>Service serving real-time</t>
  </si>
  <si>
    <t>4.1.8</t>
  </si>
  <si>
    <t>Tích hợp vào điểm chạm (notification, app)</t>
  </si>
  <si>
    <t>Backend/FE</t>
  </si>
  <si>
    <t>Đề xuất hiển thị trên app/notification</t>
  </si>
  <si>
    <t>4.1.9</t>
  </si>
  <si>
    <t>Setup A/B test pilot với nhóm user nhỏ</t>
  </si>
  <si>
    <t>T44</t>
  </si>
  <si>
    <t>Cấu hình A/B test</t>
  </si>
  <si>
    <t>4.1.10</t>
  </si>
  <si>
    <t>Theo dõi, đo lường &amp; tinh chỉnh</t>
  </si>
  <si>
    <t>Báo cáo kết quả pilot</t>
  </si>
  <si>
    <t>Học tăng cường – AI Training coach cho thầu thợ</t>
  </si>
  <si>
    <t>4 tuần | Tuần 45-48</t>
  </si>
  <si>
    <t>4.2.1</t>
  </si>
  <si>
    <t>Thu thập nội dung đào tạo hiện có (kịch bản, video mẫu)</t>
  </si>
  <si>
    <t>T45</t>
  </si>
  <si>
    <t>Content/L&amp;D</t>
  </si>
  <si>
    <t>Kho nội dung đào tạo</t>
  </si>
  <si>
    <t>4.2.2</t>
  </si>
  <si>
    <t>Xây knowledge base</t>
  </si>
  <si>
    <t>Knowledge base sẵn sàng</t>
  </si>
  <si>
    <t>4.2.3</t>
  </si>
  <si>
    <t>Thiết kế reward/feedback loop (rating, tỷ lệ chốt deal)</t>
  </si>
  <si>
    <t>T46</t>
  </si>
  <si>
    <t>Cơ chế reward v1</t>
  </si>
  <si>
    <t>4.2.4</t>
  </si>
  <si>
    <t>Thiết kế cơ chế thu thập feedback từ thầu thợ</t>
  </si>
  <si>
    <t>Kênh thu thập feedback</t>
  </si>
  <si>
    <t>4.2.5</t>
  </si>
  <si>
    <t>Xây chatbot/coach AI (knowledge base + prompt engineering)</t>
  </si>
  <si>
    <t>T47</t>
  </si>
  <si>
    <t>Chatbot coach hoạt động</t>
  </si>
  <si>
    <t>4.2.2, 4.2.3</t>
  </si>
  <si>
    <t>4.2.6</t>
  </si>
  <si>
    <t>Gợi ý video theo tình huống</t>
  </si>
  <si>
    <t>AI Engineer/Content</t>
  </si>
  <si>
    <t>Logic gợi ý video</t>
  </si>
  <si>
    <t>4.2.7</t>
  </si>
  <si>
    <t>Pilot với nhóm thầu thợ mẫu</t>
  </si>
  <si>
    <t>T48</t>
  </si>
  <si>
    <t>PM/BA</t>
  </si>
  <si>
    <t>Kết quả pilot ban đầu</t>
  </si>
  <si>
    <t>4.2.6, 4.2.4</t>
  </si>
  <si>
    <t>4.2.8</t>
  </si>
  <si>
    <t>Thu thập feedback &amp; tinh chỉnh nội dung/reward logic</t>
  </si>
  <si>
    <t>Phiên bản đã tinh chỉnh</t>
  </si>
  <si>
    <t>Fine-Tune Production (có kiểm soát) + A/B prompt/model</t>
  </si>
  <si>
    <t>4 tuần | Tuần 49-52</t>
  </si>
  <si>
    <t>4.3.1</t>
  </si>
  <si>
    <t>Review kết quả PoC Ver 2 (gate/checkpoint)</t>
  </si>
  <si>
    <t>T49</t>
  </si>
  <si>
    <t>AI Engineer/PM</t>
  </si>
  <si>
    <t>Quyết định go/no-go</t>
  </si>
  <si>
    <t>4.3.2</t>
  </si>
  <si>
    <t>Chuẩn bị &amp; kiểm duyệt dataset fine-tune</t>
  </si>
  <si>
    <t>Dataset fine-tune đã duyệt</t>
  </si>
  <si>
    <t>4.3.3</t>
  </si>
  <si>
    <t>Fine-tune model trên staging</t>
  </si>
  <si>
    <t>T50</t>
  </si>
  <si>
    <t>Model fine-tuned v1</t>
  </si>
  <si>
    <t>4.3.4</t>
  </si>
  <si>
    <t>Đánh giá offline metrics so với baseline</t>
  </si>
  <si>
    <t>Báo cáo so sánh baseline</t>
  </si>
  <si>
    <t>4.3.5</t>
  </si>
  <si>
    <t>Thiết lập A/B testing framework (prompt A/B, model A/B)</t>
  </si>
  <si>
    <t>T51</t>
  </si>
  <si>
    <t>MLOps/Backend</t>
  </si>
  <si>
    <t>Framework A/B sẵn sàng</t>
  </si>
  <si>
    <t>4.3.6</t>
  </si>
  <si>
    <t>Cấu hình traffic splitting nhỏ</t>
  </si>
  <si>
    <t>MLOps</t>
  </si>
  <si>
    <t>Traffic split đã cấu hình</t>
  </si>
  <si>
    <t>4.3.7</t>
  </si>
  <si>
    <t>Theo dõi kết quả A/B</t>
  </si>
  <si>
    <t>T52</t>
  </si>
  <si>
    <t>Báo cáo kết quả A/B</t>
  </si>
  <si>
    <t>4.3.8</t>
  </si>
  <si>
    <t>Rollout có kiểm soát (canary) nếu đạt tiêu chí</t>
  </si>
  <si>
    <t>MLOps/PM</t>
  </si>
  <si>
    <t>Model live dạng canary</t>
  </si>
  <si>
    <t>KẾ HOẠCH XÂY DỰNG CHI TIẾT — ROADMAP AI AGENT (PHASE 3 &amp; 4)</t>
  </si>
  <si>
    <t>Giả định: team nhỏ 2-3 người kiêm nhiệm, các hoạt động trong cùng 1 Phase triển khai NỐI TIẾP (tuần tự) do giới hạn nguồn lực. Thời gian tính theo tuần, khớp với Gantt chart ở sheet "Sheet2".</t>
  </si>
  <si>
    <t>Hoạt động</t>
  </si>
  <si>
    <t>Thời gian</t>
  </si>
  <si>
    <t>Mục tiêu</t>
  </si>
  <si>
    <t>Các bước triển khai</t>
  </si>
  <si>
    <t>Nhân sự cần</t>
  </si>
  <si>
    <t>Deliverable (đầu ra)</t>
  </si>
  <si>
    <t>Rủi ro &amp; lưu ý</t>
  </si>
  <si>
    <t>1. Triển khai lời chào từ danh sách cố định (10 câu)</t>
  </si>
  <si>
    <t>6 tuần
(Tuần 27-32)</t>
  </si>
  <si>
    <t>Cho phép icon Chat AI tự động hiển thị 1 câu chào (trong bộ 10 câu cố định) mỗi khi user đăng nhập, nhằm tăng tỷ lệ click vào chat (CTR).</t>
  </si>
  <si>
    <t>Tuần 1: Soạn &amp; duyệt nội dung 10 câu chào (phối hợp Marketing/CSKH); thiết kế schema/config lưu trữ.
Tuần 2: Xây API GET /greeting (random/round-robin), logic chống lặp câu liên tiếp; xây CMS chỉnh nội dung không cần deploy.
Tuần 3-4: Dựng component ChatWidget (Icon + Bubble), gọi API hiển thị nội dung, xử lý trigger (delay sau login, auto-hide, dismiss theo session), responsive mobile, tích hợp GA4 tracking.
Tuần 5: Code review, UAT, fix bug.
Tuần 6: Deploy staging → production (soft launch), giám sát CTR ban đầu.</t>
  </si>
  <si>
    <t>1 Backend, 1 Frontend, 1 BA/PM kiêm nhiệm</t>
  </si>
  <si>
    <t>Chat bubble hiển thị lời chào tĩnh hoạt động trên Production; báo cáo CTR baseline sau soft launch</t>
  </si>
  <si>
    <t>10 câu chào cần đa dạng để tránh gây nhàm chán nếu user đăng nhập nhiều lần/ngày; cần theo dõi tỷ lệ dismiss để điều chỉnh nội dung sớm</t>
  </si>
  <si>
    <t>2. Triển khai lời chào có chủ đích (data-driven: CTKM mới, nhắc quét mã tích điểm...)</t>
  </si>
  <si>
    <t>8 tuần
(Tuần 33-40)</t>
  </si>
  <si>
    <t>AI/hệ thống tự phân tích dữ liệu khách hàng (CTKM mới, lâu chưa quét mã tích điểm, điểm sắp hết hạn...) để đưa ra lời nhắn cá nhân hoá thay vì lời chào chung chung, tăng chuyển đổi và tương tác thực chất.</t>
  </si>
  <si>
    <t>Tuần 1-2: BA đặc tả chi tiết từng loại thông báo (CTKM mới, nhắc quét mã, điểm sắp hết hạn, giỏ hàng bỏ quên...); thiết kế rule độ ưu tiên khi khách match nhiều điều kiện; thiết kế bảng notification_log chống lặp thông báo.
Tuần 3-5: Xây rule engine đọc dữ liệu từ DB (promotions, loyalty_scan_history, loyalty_points...); đánh giá &amp; chọn kiến trúc real-time query hay batch job pre-compute; xây batch job cache message theo user (nếu chọn batch).
Tuần 6: Nâng cấp API /greeting trả message chủ đích, fallback về 10 câu tĩnh nếu không match rule nào.
Tuần 7: Cập nhật FE nhận thêm loại thông báo + CTA (VD: dẫn tới trang quét mã/trang CTKM), cập nhật GA4 tracking theo từng loại message; test toàn bộ rule nghiệp vụ và hiệu năng.
Tuần 8: Fix bug UAT, deploy production (soft launch theo %), giám sát &amp; so sánh CTR với Phase 1.</t>
  </si>
  <si>
    <t>1 AI/Data engineer, 1 Backend, 1 Frontend, 1 BA nghiệp vụ kiêm nhiệm</t>
  </si>
  <si>
    <t>Agent gửi lời nhắn cá nhân hoá chạy thật trên Production; báo cáo so sánh CTR/tỷ lệ chuyển đổi so với Phase 1 (lời chào tĩnh)</t>
  </si>
  <si>
    <t>Dữ liệu nguồn (loyalty, promotions...) có thể không sạch/thiếu trường — cần đội nghiệp vụ verify rule trước khi tin cậy; cần kiểm soát tần suất &amp; độ ưu tiên để tránh spam nhiều thông báo cùng lúc; phụ thuộc Phase 1 ổn định nên xếp chạy sau — nếu Phase 1 trễ, Phase 2 cần buffer</t>
  </si>
  <si>
    <t>1. OCR tải ảnh thực tế → gợi ý sản phẩm, giải pháp</t>
  </si>
  <si>
    <t>2. Hỏi AI bằng giọng nói (Speech to Text / Text to Speech)</t>
  </si>
  <si>
    <t>3 tuần
(Tuần 31-33)</t>
  </si>
  <si>
    <t>Cho phép user tương tác với AI bằng giọng nói; AI trả lời lại bằng giọng nói.</t>
  </si>
  <si>
    <t>Tuần 1: Chọn STT/TTS engine (Google Speech, Azure Speech, Whisper + TTS open-source), test tiếng Việt đa vùng miền.
Tuần 2: Tích hợp STT vào luồng chat hiện có (voice → text → xử lý như bình thường), tích hợp TTS trả lời.
Tuần 3: Tối ưu độ trễ, xử lý nhiễu nền, test đa giọng vùng miền, hoàn thiện UI microphone.</t>
  </si>
  <si>
    <t>1 Backend/AI engineer, 1 FE (mobile)</t>
  </si>
  <si>
    <t>Voice input/output hoạt động trong app; đo được độ trễ trung bình</t>
  </si>
  <si>
    <t>Độ chính xác nhận diện giọng địa phương (miền Trung, miền Nam); chi phí API tính theo lượng dùng cần theo dõi</t>
  </si>
  <si>
    <t>3. Agent proactive: phân tích lợi nhuận &amp; upsell logic</t>
  </si>
  <si>
    <t>4 tuần
(Tuần 34-37)</t>
  </si>
  <si>
    <t>Khi user mở app/màn đơn hàng, AI tự phân tích lợi nhuận từng SP/đơn và đề xuất mua thêm để đạt CTKM.</t>
  </si>
  <si>
    <t>Tuần 1: Chuẩn hoá dữ liệu đầu vào (giá vốn, giá bán, CTKM, tồn kho) từ ERP/CRM hiện có.
Tuần 2: Xây engine tính gap-to-tier (khoảng cách đạt mốc CTKM), logic bundle &amp; substitute premium.
Tuần 3: Xây cross-brand logic trong hệ SG; xây API đề xuất trả về hành động cụ thể (SP X, số lượng Y).
Tuần 4: Tích hợp trigger proactive khi mở app/màn đơn hàng; test với dữ liệu thật, tinh chỉnh ngưỡng đề xuất.</t>
  </si>
  <si>
    <t>1 AI/Data engineer, 1 Backend (tích hợp ERP), 1 BA nghiệp vụ kiêm nhiệm</t>
  </si>
  <si>
    <t>Agent proactive chạy demo với dữ liệu thật; báo cáo tỷ lệ đề xuất được chấp nhận (pilot)</t>
  </si>
  <si>
    <t>Dữ liệu ERP có thể không sạch/thiếu trường; cần đội nghiệp vụ verify logic CTKM trước khi tin cậy đề xuất</t>
  </si>
  <si>
    <t>4. AI Agent tạo đơn nháp – 1 click tạo đơn Eshop</t>
  </si>
  <si>
    <t>2 tuần
(Tuần 38-39)</t>
  </si>
  <si>
    <t>Từ gợi ý/đề xuất ở trên, AI tự tạo đơn nháp; khách chỉ cần 1 click để tạo đơn thật trên Eshop.</t>
  </si>
  <si>
    <t>Tuần 1: Xây API tạo đơn nháp từ output của hoạt động (1) &amp; (3), map sang format đơn hàng Eshop.
Tuần 2: Tích hợp UI xác nhận 1-click, xử lý edge case (hết hàng, giá thay đổi), test toàn luồng E2E.</t>
  </si>
  <si>
    <t>1 Backend, 1 FE</t>
  </si>
  <si>
    <t>Luồng tạo đơn nháp → xác nhận 1 click hoạt động E2E trên Eshop</t>
  </si>
  <si>
    <t>Phụ thuộc output ổn định của hoạt động (1) và (3) — vì vậy xếp cuối Phase 3, cần buffer nếu 2 hoạt động trên trễ</t>
  </si>
  <si>
    <t>1. Recommendation system (AI chủ động đề xuất bán hàng)</t>
  </si>
  <si>
    <t>5 tuần
(Tuần 40-44)</t>
  </si>
  <si>
    <t>AI không đợi khách hỏi mà tự phát hiện cơ hội bán từ dữ liệu hành vi, lịch sử, CTKM, tồn kho, mùa vụ… và đề xuất hành động cụ thể.</t>
  </si>
  <si>
    <t>Tuần 1: Thu thập &amp; hợp nhất dữ liệu (hành vi user, lịch sử mua, CTKM, tồn kho, mùa vụ) vào data warehouse/feature store.
Tuần 2: Feature engineering, chọn thuật toán (collaborative filtering / ranking / gradient boosting).
Tuần 3: Train &amp; đánh giá model offline (precision/recall, uplift dự kiến).
Tuần 4: Xây API/service serving đề xuất real-time, tích hợp vào các điểm chạm (notification, app).
Tuần 5: A/B test pilot với nhóm user nhỏ, đo lường &amp; tinh chỉnh.</t>
  </si>
  <si>
    <t>2 AI/Data engineer, 1 Backend hỗ trợ tích hợp (kiêm nhiệm từ Phase 3)</t>
  </si>
  <si>
    <t>Recommendation engine chạy pilot; báo cáo kết quả A/B test (tỷ lệ chuyển đổi, doanh thu uplift)</t>
  </si>
  <si>
    <t>Cần khối lượng dữ liệu đủ lớn để model học tốt; vấn đề cold-start cho user/sản phẩm mới cần xử lý riêng</t>
  </si>
  <si>
    <t>2. Học tăng cường – AI Training coach cho thầu thợ</t>
  </si>
  <si>
    <t>4 tuần
(Tuần 45-48)</t>
  </si>
  <si>
    <t>AI đồng hành huấn luyện thầu thợ Nhà thầu 5Sao: nội dung tư vấn bán hàng, video hướng dẫn, cách chốt deal.</t>
  </si>
  <si>
    <t>Tuần 1: Thu thập nội dung đào tạo hiện có (kịch bản tư vấn, video mẫu), xây knowledge base.
Tuần 2: Thiết kế reward/feedback loop đơn giản (rating từ thầu thợ, tỷ lệ chốt deal) làm input.
Tuần 3: Xây chatbot/coach AI dựa trên knowledge base + prompt engineering, gợi ý video theo tình huống.
Tuần 4: Pilot với nhóm thầu thợ mẫu, thu thập feedback, tinh chỉnh nội dung &amp; reward logic.</t>
  </si>
  <si>
    <t>1 AI engineer, 1 Content/L&amp;D kiêm nhiệm, 1 Backend hỗ trợ</t>
  </si>
  <si>
    <t>AI coach pilot chạy cho nhóm thầu thợ mẫu; báo cáo mức hài lòng &amp; cải thiện tỷ lệ chốt deal</t>
  </si>
  <si>
    <t>Giai đoạn đầu chưa đủ dữ liệu tương tác để RL thật sự học — nên bắt đầu bằng rule-based/behavior cloning trước khi RL đầy đủ</t>
  </si>
  <si>
    <t>3. Fine-Tune Production (có kiểm soát) + A/B prompt/model</t>
  </si>
  <si>
    <t>4 tuần
(Tuần 49-52)</t>
  </si>
  <si>
    <t>Nếu PoC Ver 2 đạt tiêu chí, tiến hành fine-tune model production có kiểm soát; chạy A/B test prompt/model.</t>
  </si>
  <si>
    <t>Tuần 1: Review kết quả PoC Ver 2 (gate/checkpoint), chuẩn bị dataset fine-tune đã kiểm duyệt chất lượng.
Tuần 2: Fine-tune model trên staging, đánh giá offline metrics so với baseline.
Tuần 3: Thiết lập A/B testing framework (prompt A/B, model A/B) với traffic splitting nhỏ.
Tuần 4: Theo dõi kết quả A/B, rollout có kiểm soát (canary) nếu đạt tiêu chí.</t>
  </si>
  <si>
    <t>1-2 AI engineer, 1 MLOps/Backend kiêm nhiệm</t>
  </si>
  <si>
    <t>Model fine-tuned deploy dạng staged/canary; báo cáo kết quả A/B test</t>
  </si>
  <si>
    <t>Điều kiện tiên quyết 'PoC Ver 2 đạt' cần gate rõ ràng trước khi bắt đầu; rủi ro overfit nếu dataset fine-tune nhỏ</t>
  </si>
  <si>
    <t>TEST CASE MATRIX — PHASE 3 &amp; 4</t>
  </si>
  <si>
    <t>WBS ID khớp với sheet WBS &amp; Gantt (Sheet2). Tester tick trực tiếp cột "Trạng thái" (Chưa test / Pass / Fail / Blocked) — ô sẽ tự đổi màu theo trạng thái. Dùng nút +/- bên trái để thu gọn/mở rộng theo Phase → Activity → Test case.</t>
  </si>
  <si>
    <t>Test Case ID</t>
  </si>
  <si>
    <t>Test Case (Kịch bản test)</t>
  </si>
  <si>
    <t>Loại test</t>
  </si>
  <si>
    <t>Kết quả mong đợi</t>
  </si>
  <si>
    <t>Trạng thái</t>
  </si>
  <si>
    <t>Người test</t>
  </si>
  <si>
    <t>Ghi chú / Bug ref</t>
  </si>
  <si>
    <t>3.0 LỜI CHÀO TỪ DANH SÁCH CỐ ĐỊNH (10 câu)</t>
  </si>
  <si>
    <t>P1.1</t>
  </si>
  <si>
    <t>TC-P1-001</t>
  </si>
  <si>
    <t>Đăng nhập lần đầu trong ngày → bubble hiện đúng thời gian delay quy định (VD: 3-5s sau khi load trang)</t>
  </si>
  <si>
    <t>Functional</t>
  </si>
  <si>
    <t>Bubble tự động hiện sau đúng khoảng delay cấu hình, không sớm/muộn hơn 1s</t>
  </si>
  <si>
    <t>Chưa test</t>
  </si>
  <si>
    <t>TBD</t>
  </si>
  <si>
    <t>TC-P1-002</t>
  </si>
  <si>
    <t>Nội dung bubble hiển thị là 1 trong 10 câu chào đã cấu hình</t>
  </si>
  <si>
    <t>Câu chào hiển thị khớp với danh sách 10 câu trong CMS/config</t>
  </si>
  <si>
    <t>TC-P1-003</t>
  </si>
  <si>
    <t>Đăng nhập nhiều lần liên tiếp trong cùng session → câu chào không lặp lại câu vừa hiện lần trước</t>
  </si>
  <si>
    <t>Câu chào lần 2 khác câu chào lần 1 (logic chống lặp hoạt động)</t>
  </si>
  <si>
    <t>TC-P1-004</t>
  </si>
  <si>
    <t>User không tương tác với bubble trong X giây → bubble tự thu nhỏ về icon/badge</t>
  </si>
  <si>
    <t>Bubble tự ẩn đúng thời gian auto-hide cấu hình</t>
  </si>
  <si>
    <t>TC-P1-005</t>
  </si>
  <si>
    <t>User bấm nút đóng (x) trên bubble → bubble không hiện lại trong cùng session</t>
  </si>
  <si>
    <t>Bubble biến mất ngay khi đóng, không xuất hiện lại dù reload trang trong session đó</t>
  </si>
  <si>
    <t>TC-P1-006</t>
  </si>
  <si>
    <t>User click vào bubble → mở đúng khung chat AI</t>
  </si>
  <si>
    <t>Cửa sổ chat mở ra, giữ nguyên ngữ cảnh (không mất nội dung chào)</t>
  </si>
  <si>
    <t>TC-P1-007</t>
  </si>
  <si>
    <t>Admin cập nhật/sửa nội dung 1 trong 10 câu chào qua CMS → hiển thị đúng câu mới, không cần deploy lại</t>
  </si>
  <si>
    <t>Câu chào mới hiển thị trên bubble ngay sau khi lưu CMS (có thể có cache TTL)</t>
  </si>
  <si>
    <t>TC-P1-008</t>
  </si>
  <si>
    <t>Admin xoá bớt câu chào (còn &lt; 10 câu) → hệ thống vẫn random đúng trong danh sách còn lại, không lỗi</t>
  </si>
  <si>
    <t>Không có lỗi, bubble vẫn hiện random trong số câu còn lại</t>
  </si>
  <si>
    <t>TC-P1-009</t>
  </si>
  <si>
    <t>API /greeting trả lỗi hoặc timeout → xử lý fallback (không hiện bubble hoặc hiện câu mặc định), không crash UI</t>
  </si>
  <si>
    <t>Negative</t>
  </si>
  <si>
    <t>UI không bị vỡ/treo; có fallback graceful, log lỗi phía BE</t>
  </si>
  <si>
    <t>TC-P1-010</t>
  </si>
  <si>
    <t>Danh sách 10 câu bị để trống (config rỗng)</t>
  </si>
  <si>
    <t>Boundary</t>
  </si>
  <si>
    <t>Hệ thống không hiện bubble hoặc hiện thông báo mặc định, không lỗi 500</t>
  </si>
  <si>
    <t>TC-P1-011</t>
  </si>
  <si>
    <t>Test hiển thị bubble trên các trình duyệt phổ biến (Chrome, Safari, Edge, Firefox)</t>
  </si>
  <si>
    <t>Compatibility</t>
  </si>
  <si>
    <t>UI hiển thị đồng nhất, không lệch layout trên các trình duyệt</t>
  </si>
  <si>
    <t>TC-P1-012</t>
  </si>
  <si>
    <t>Test hiển thị bubble trên mobile (iOS/Android), các kích thước màn hình khác nhau</t>
  </si>
  <si>
    <t>UI/UX</t>
  </si>
  <si>
    <t>Bubble không che nút quan trọng, chữ đọc được, responsive đúng</t>
  </si>
  <si>
    <t>TC-P1-013</t>
  </si>
  <si>
    <t>Test tốc độ load bubble không ảnh hưởng thời gian load trang chính</t>
  </si>
  <si>
    <t>Performance</t>
  </si>
  <si>
    <t>Thời gian load trang không tăng đáng kể (&lt; 100ms chênh lệch) khi bật widget</t>
  </si>
  <si>
    <t>TC-P1-014</t>
  </si>
  <si>
    <t>Kiểm tra event GA4 bắn đúng khi: bubble hiện, user click, user dismiss</t>
  </si>
  <si>
    <t>3 event tương ứng ghi nhận đúng trên GA4 dashboard, đúng tham số</t>
  </si>
  <si>
    <t>TC-P1-015</t>
  </si>
  <si>
    <t>User đăng xuất rồi đăng nhập lại (tài khoản khác) trong cùng trình duyệt → bubble hiện lại đúng cho user mới</t>
  </si>
  <si>
    <t>Trạng thái dismiss không bị dính chéo giữa 2 tài khoản khác nhau</t>
  </si>
  <si>
    <t>TC-P1-016</t>
  </si>
  <si>
    <t>Test đa ngôn ngữ (nếu áp dụng) — câu chào hiển thị đúng theo ngôn ngữ user chọn</t>
  </si>
  <si>
    <t>Nội dung đúng ngôn ngữ, không lỗi font/encoding tiếng Việt có dấu</t>
  </si>
  <si>
    <t>3.2</t>
  </si>
  <si>
    <t>TC-3.2-01</t>
  </si>
  <si>
    <t>Hỏi câu đơn giản, giọng chuẩn, môi trường yên tĩnh (happy path)</t>
  </si>
  <si>
    <t>Nhận diện đúng nội dung câu hỏi; AI trả lời đúng bằng giọng nói</t>
  </si>
  <si>
    <t>TC-3.2-02</t>
  </si>
  <si>
    <t>Hỏi bằng giọng miền Trung / miền Nam</t>
  </si>
  <si>
    <t>AI-specific</t>
  </si>
  <si>
    <t>Tỷ lệ nhận diện đúng ≥ ngưỡng đã thống nhất, không lệch nhiều so với giọng miền Bắc</t>
  </si>
  <si>
    <t>TC-3.2-03</t>
  </si>
  <si>
    <t>Hỏi trong môi trường ồn (công trường, quán cafe)</t>
  </si>
  <si>
    <t>Edge case</t>
  </si>
  <si>
    <t>Vẫn nhận diện được hoặc báo lỗi rõ ràng ('không nghe rõ, thử lại'); không trả lời sai nội dung</t>
  </si>
  <si>
    <t>TC-3.2-04</t>
  </si>
  <si>
    <t>Nói ngắt quãng, lặp lại, hoặc dừng giữa chừng</t>
  </si>
  <si>
    <t>Hệ thống xử lý hợp lý, không bị treo hoặc trả lời sai ngữ cảnh</t>
  </si>
  <si>
    <t>TC-3.2-05</t>
  </si>
  <si>
    <t>Đo độ trễ phản hồi (voice → text → trả lời)</t>
  </si>
  <si>
    <t>Non-functional</t>
  </si>
  <si>
    <t>Latency nằm trong ngưỡng chấp nhận được đã thống nhất với dev</t>
  </si>
  <si>
    <t>TC-3.3-01</t>
  </si>
  <si>
    <t>Mở màn đơn hàng với SP gần đạt mốc CTKM (happy path)</t>
  </si>
  <si>
    <t>AI đề xuất đúng: mua thêm SP X, số lượng Y để đạt CTKM Z</t>
  </si>
  <si>
    <t>TC-3.3-02</t>
  </si>
  <si>
    <t>User/đơn hàng đã đạt CTKM tối đa</t>
  </si>
  <si>
    <t>Không đề xuất thêm để 'ép mua', hoặc chuyển sang đề xuất bundle khác hợp lý</t>
  </si>
  <si>
    <t>TC-3.3-03</t>
  </si>
  <si>
    <t>SP dự kiến đề xuất đang hết hàng</t>
  </si>
  <si>
    <t>Hệ thống loại SP hết hàng khỏi đề xuất, tự động chọn substitute phù hợp</t>
  </si>
  <si>
    <t>TC-3.3-04</t>
  </si>
  <si>
    <t>Đơn hàng có nhiều SP thuộc nhiều brand khác nhau trong hệ SG</t>
  </si>
  <si>
    <t>Logic cross-brand hoạt động đúng, đề xuất hợp lý giữa các brand</t>
  </si>
  <si>
    <t>TC-3.3-05</t>
  </si>
  <si>
    <t>Đối chiếu số liệu lợi nhuận AI tính với tính tay trên đơn mẫu</t>
  </si>
  <si>
    <t>Functional / Đo lường</t>
  </si>
  <si>
    <t>Số liệu lợi nhuận khớp với tính toán thủ công (sai số trong ngưỡng cho phép)</t>
  </si>
  <si>
    <t>TC-3.4-01</t>
  </si>
  <si>
    <t>Từ gợi ý có sẵn, tạo đơn nháp và xác nhận 1-click (happy path)</t>
  </si>
  <si>
    <t>Đơn được tạo thành công trên Eshop với đúng SP, số lượng, giá</t>
  </si>
  <si>
    <t>TC-3.4-02</t>
  </si>
  <si>
    <t>SP trong đơn nháp hết hàng trước khi khách xác nhận</t>
  </si>
  <si>
    <t>Thông báo rõ cho khách, không tạo đơn sai lệch hoặc lỗi hệ thống</t>
  </si>
  <si>
    <t>TC-3.4-03</t>
  </si>
  <si>
    <t>Giá SP thay đổi giữa lúc tạo đơn nháp và lúc xác nhận</t>
  </si>
  <si>
    <t>Hệ thống cập nhật giá mới nhất và thông báo cho khách trước khi tạo đơn thật</t>
  </si>
  <si>
    <t>TC-3.4-04</t>
  </si>
  <si>
    <t>Regression: verify output của Activity 3.1 &amp; 3.3 vẫn đúng khi đi qua 3.4</t>
  </si>
  <si>
    <t>Regression</t>
  </si>
  <si>
    <t>Gợi ý ảnh (3.1) và đề xuất upsell (3.3) không bị sai lệch khi tích hợp vào luồng tạo đơn</t>
  </si>
  <si>
    <t>TC-4.1-01</t>
  </si>
  <si>
    <t>User có lịch sử mua hàng rõ ràng (happy path)</t>
  </si>
  <si>
    <t>Gợi ý đúng cơ hội bán phù hợp với hành vi &amp; lịch sử mua của user</t>
  </si>
  <si>
    <t>TC-4.1-02</t>
  </si>
  <si>
    <t>User mới, chưa có lịch sử mua hàng (cold-start)</t>
  </si>
  <si>
    <t>Hệ thống có phương án dự phòng (gợi ý theo mùa vụ/best-seller), không trả về trống hoặc lỗi</t>
  </si>
  <si>
    <t>TC-4.1-03</t>
  </si>
  <si>
    <t>So sánh tỷ lệ chuyển đổi nhóm A/B test vs nhóm control</t>
  </si>
  <si>
    <t>Non-functional / Đo lường</t>
  </si>
  <si>
    <t>Nhóm được đề xuất có tỷ lệ chuyển đổi cao hơn nhóm control theo ngưỡng đã thống nhất</t>
  </si>
  <si>
    <t>TC-4.1-04</t>
  </si>
  <si>
    <t>Kiểm tra đề xuất đúng thời điểm theo mùa vụ</t>
  </si>
  <si>
    <t>Đề xuất sản phẩm mùa vụ khớp với thời điểm thực tế trong năm</t>
  </si>
  <si>
    <t>TC-4.2-01</t>
  </si>
  <si>
    <t>Thầu thợ hỏi tình huống tư vấn bán hàng cụ thể (happy path)</t>
  </si>
  <si>
    <t>AI trả lời đúng kịch bản tư vấn, gợi ý video hướng dẫn liên quan</t>
  </si>
  <si>
    <t>TC-4.2-02</t>
  </si>
  <si>
    <t>Thầu thợ đánh giá thấp (rating) một gợi ý của AI</t>
  </si>
  <si>
    <t>Hệ thống ghi nhận feedback; không lặp lại gợi ý đã bị đánh giá thấp trong các lần sau</t>
  </si>
  <si>
    <t>TC-4.2-03</t>
  </si>
  <si>
    <t>Pilot nhóm thầu thợ mẫu, đo tỷ lệ chốt deal trước/sau khi dùng AI coach</t>
  </si>
  <si>
    <t>Tỷ lệ chốt deal của nhóm pilot cải thiện so với trước khi dùng AI coach</t>
  </si>
  <si>
    <t>TC-4.3-01</t>
  </si>
  <si>
    <t>So sánh output model fine-tuned vs baseline trên cùng bộ câu hỏi test</t>
  </si>
  <si>
    <t>Regression / AI-specific</t>
  </si>
  <si>
    <t>Model mới không kém hơn baseline; cải thiện ở tiêu chí đã đề ra trong PoC Ver 2</t>
  </si>
  <si>
    <t>TC-4.3-02</t>
  </si>
  <si>
    <t>Chạy A/B test prompt/model với traffic nhỏ trên production</t>
  </si>
  <si>
    <t>Không phát sinh lỗi bất thường; số liệu A/B thu thập đầy đủ, đúng nhóm</t>
  </si>
  <si>
    <t>TC-4.3-03</t>
  </si>
  <si>
    <t>Theo dõi rollout canary sau khi đạt tiêu chí A/B</t>
  </si>
  <si>
    <t>Model hoạt động ổn định trên canary, không có sự cố ảnh hưởng user thật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</si>
</sst>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5">
    <font>
      <sz val="11"/>
      <color theme="1"/>
      <name val="Aptos Narrow"/>
      <family val="2"/>
      <scheme val="minor"/>
    </font>
    <font>
      <b/>
      <sz val="10"/>
      <name val="Arial"/>
      <family val="2"/>
    </font>
    <font>
      <sz val="10"/>
      <color theme="1"/>
      <name val="Calibri"/>
      <family val="2"/>
      <charset val="1"/>
    </font>
    <font>
      <sz val="9"/>
      <name val="Arial"/>
      <family val="2"/>
    </font>
    <font>
      <i/>
      <sz val="10"/>
      <color theme="1"/>
      <name val="Calibri"/>
      <family val="2"/>
      <charset val="1"/>
    </font>
    <font>
      <u/>
      <sz val="11"/>
      <color theme="1"/>
      <name val="Calibri"/>
      <family val="2"/>
      <charset val="1"/>
    </font>
    <font>
      <i/>
      <sz val="11"/>
      <color theme="1"/>
      <name val="Calibri"/>
      <family val="2"/>
      <charset val="1"/>
    </font>
    <font>
      <sz val="10"/>
      <name val="Arial"/>
      <family val="2"/>
    </font>
    <font>
      <sz val="11"/>
      <color theme="1"/>
      <name val="Aptos Narrow"/>
      <family val="2"/>
      <charset val="1"/>
    </font>
    <font>
      <b/>
      <sz val="10"/>
      <color rgb="FF1F4E78"/>
      <name val="Arial"/>
      <family val="2"/>
    </font>
    <font>
      <b/>
      <sz val="13"/>
      <color rgb="FF1F4E78"/>
      <name val="Arial"/>
      <family val="2"/>
    </font>
    <font>
      <i/>
      <sz val="9"/>
      <color rgb="FF595959"/>
      <name val="Arial"/>
      <family val="2"/>
    </font>
    <font>
      <b/>
      <sz val="10"/>
      <color rgb="FFFFFFFF"/>
      <name val="Arial"/>
      <family val="2"/>
    </font>
    <font>
      <b/>
      <sz val="11"/>
      <color rgb="FFFFFFFF"/>
      <name val="Arial"/>
      <family val="2"/>
    </font>
    <font>
      <sz val="9.5"/>
      <name val="Arial"/>
      <family val="2"/>
    </font>
    <font>
      <b/>
      <sz val="11"/>
      <color rgb="FF1F4E78"/>
      <name val="Arial"/>
      <family val="2"/>
    </font>
    <font>
      <b/>
      <sz val="11"/>
      <color theme="1"/>
      <name val="Aptos Narrow"/>
      <family val="2"/>
      <scheme val="minor"/>
    </font>
    <font>
      <b/>
      <sz val="11"/>
      <name val="Aptos Narrow"/>
      <family val="2"/>
      <scheme val="minor"/>
    </font>
    <font>
      <sz val="11"/>
      <name val="Aptos Narrow"/>
      <family val="2"/>
      <scheme val="minor"/>
    </font>
    <font>
      <sz val="8"/>
      <name val="Aptos Narrow"/>
      <family val="2"/>
      <scheme val="minor"/>
    </font>
    <font>
      <sz val="11"/>
      <color theme="1"/>
      <name val="Calibri"/>
      <family val="2"/>
      <charset val="1"/>
    </font>
    <font>
      <b/>
      <i/>
      <sz val="10.5"/>
      <name val="Arial"/>
      <family val="2"/>
    </font>
    <font>
      <sz val="10.5"/>
      <name val="Arial"/>
      <family val="2"/>
    </font>
    <font>
      <b/>
      <sz val="10"/>
      <name val="Arial"/>
    </font>
    <font>
      <sz val="10"/>
      <name val="Arial"/>
    </font>
  </fonts>
  <fills count="23">
    <fill>
      <patternFill patternType="none"/>
    </fill>
    <fill>
      <patternFill patternType="gray125"/>
    </fill>
    <fill>
      <patternFill patternType="solid">
        <fgColor theme="0"/>
        <bgColor rgb="FFF2F2F2"/>
      </patternFill>
    </fill>
    <fill>
      <patternFill patternType="solid">
        <fgColor theme="0"/>
        <bgColor indexed="64"/>
      </patternFill>
    </fill>
    <fill>
      <patternFill patternType="solid">
        <fgColor rgb="FFFFFFFF"/>
        <bgColor rgb="FFF2F2F2"/>
      </patternFill>
    </fill>
    <fill>
      <patternFill patternType="solid">
        <fgColor rgb="FFD9E1F2"/>
        <bgColor rgb="FFD9D9D9"/>
      </patternFill>
    </fill>
    <fill>
      <patternFill patternType="solid">
        <fgColor rgb="FF1F4E78"/>
        <bgColor rgb="FF003366"/>
      </patternFill>
    </fill>
    <fill>
      <patternFill patternType="solid">
        <fgColor rgb="FFFFFF00"/>
        <bgColor indexed="64"/>
      </patternFill>
    </fill>
    <fill>
      <patternFill patternType="solid">
        <fgColor rgb="FFD9E2F3"/>
        <bgColor rgb="FFD9E2F3"/>
      </patternFill>
    </fill>
    <fill>
      <patternFill patternType="solid">
        <fgColor rgb="FFFFF2CC"/>
        <bgColor rgb="FFFFF2CC"/>
      </patternFill>
    </fill>
    <fill>
      <patternFill patternType="solid">
        <fgColor rgb="FFFCE5CD"/>
        <bgColor rgb="FFFCE5CD"/>
      </patternFill>
    </fill>
    <fill>
      <patternFill patternType="solid">
        <fgColor rgb="FFD9EAD3"/>
        <bgColor rgb="FFD9EAD3"/>
      </patternFill>
    </fill>
    <fill>
      <patternFill patternType="solid">
        <fgColor rgb="FFF2F6FC"/>
        <bgColor rgb="FFF2F6FC"/>
      </patternFill>
    </fill>
    <fill>
      <patternFill patternType="solid">
        <fgColor rgb="FFFFFFFF"/>
        <bgColor rgb="FFFFFFFF"/>
      </patternFill>
    </fill>
    <fill>
      <patternFill patternType="solid">
        <fgColor rgb="FFF4CCCC"/>
        <bgColor rgb="FFF4CCCC"/>
      </patternFill>
    </fill>
    <fill>
      <patternFill patternType="solid">
        <fgColor rgb="FFD0E0E3"/>
        <bgColor rgb="FFD0E0E3"/>
      </patternFill>
    </fill>
    <fill>
      <patternFill patternType="solid">
        <fgColor rgb="FFCFE2F3"/>
        <bgColor rgb="FFCFE2F3"/>
      </patternFill>
    </fill>
    <fill>
      <patternFill patternType="solid">
        <fgColor rgb="FFD9D2E9"/>
        <bgColor rgb="FFD9D2E9"/>
      </patternFill>
    </fill>
    <fill>
      <patternFill patternType="solid">
        <fgColor rgb="FFFCE4D6"/>
        <bgColor rgb="FFFFFFFF"/>
      </patternFill>
    </fill>
    <fill>
      <patternFill patternType="solid">
        <fgColor rgb="FFFCE4D6"/>
      </patternFill>
    </fill>
    <fill>
      <patternFill patternType="solid">
        <fgColor rgb="FFFFFF00"/>
      </patternFill>
    </fill>
    <fill>
      <patternFill patternType="solid">
        <fgColor rgb="FFC6E0B4"/>
      </patternFill>
    </fill>
    <fill>
      <patternFill patternType="solid">
        <fgColor rgb="FFF4CCCC"/>
      </patternFill>
    </fill>
  </fills>
  <borders count="14">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rgb="FFD9D9D9"/>
      </left>
      <right style="thin">
        <color rgb="FFD9D9D9"/>
      </right>
      <top style="thin">
        <color rgb="FFD9D9D9"/>
      </top>
      <bottom style="thin">
        <color rgb="FFD9D9D9"/>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style="thin">
        <color rgb="FFBFBFBF"/>
      </top>
      <bottom style="thin">
        <color rgb="FFBFBFBF"/>
      </bottom>
      <diagonal/>
    </border>
    <border>
      <left style="thin">
        <color rgb="FFD9D9D9"/>
      </left>
      <right/>
      <top style="thin">
        <color rgb="FFD9D9D9"/>
      </top>
      <bottom/>
      <diagonal/>
    </border>
    <border>
      <left/>
      <right/>
      <top style="thin">
        <color rgb="FFD9D9D9"/>
      </top>
      <bottom/>
      <diagonal/>
    </border>
    <border>
      <left style="thin">
        <color rgb="FFB7B7B7"/>
      </left>
      <right style="thin">
        <color rgb="FFB7B7B7"/>
      </right>
      <top style="thin">
        <color rgb="FFB7B7B7"/>
      </top>
      <bottom style="thin">
        <color rgb="FFB7B7B7"/>
      </bottom>
      <diagonal/>
    </border>
    <border>
      <left style="thin">
        <color rgb="FFD9D9D9"/>
      </left>
      <right/>
      <top style="thin">
        <color rgb="FFD9D9D9"/>
      </top>
      <bottom style="thin">
        <color rgb="FFD9D9D9"/>
      </bottom>
      <diagonal/>
    </border>
    <border>
      <left/>
      <right style="thin">
        <color rgb="FFD9D9D9"/>
      </right>
      <top style="thin">
        <color rgb="FFD9D9D9"/>
      </top>
      <bottom style="thin">
        <color rgb="FFD9D9D9"/>
      </bottom>
      <diagonal/>
    </border>
    <border>
      <left/>
      <right/>
      <top style="thin">
        <color rgb="FFD9D9D9"/>
      </top>
      <bottom style="thin">
        <color rgb="FFD9D9D9"/>
      </bottom>
      <diagonal/>
    </border>
  </borders>
  <cellStyleXfs count="3">
    <xf numFmtId="0" fontId="0" fillId="0" borderId="0"/>
    <xf numFmtId="0" fontId="8" fillId="0" borderId="0"/>
    <xf numFmtId="0" fontId="20" fillId="0" borderId="0"/>
  </cellStyleXfs>
  <cellXfs count="88">
    <xf numFmtId="0" fontId="0" fillId="0" borderId="0" xfId="0"/>
    <xf numFmtId="0" fontId="0" fillId="3" borderId="0" xfId="0" applyFill="1"/>
    <xf numFmtId="0" fontId="0" fillId="4" borderId="1" xfId="0" applyFill="1" applyBorder="1" applyAlignment="1">
      <alignment horizontal="center" vertical="center"/>
    </xf>
    <xf numFmtId="0" fontId="1" fillId="4" borderId="1" xfId="0" applyFont="1" applyFill="1" applyBorder="1" applyAlignment="1">
      <alignment horizontal="center" vertical="center" wrapText="1"/>
    </xf>
    <xf numFmtId="0" fontId="0" fillId="4" borderId="1" xfId="0" applyFill="1" applyBorder="1"/>
    <xf numFmtId="0" fontId="2" fillId="4" borderId="1" xfId="0" applyFont="1" applyFill="1" applyBorder="1" applyAlignment="1">
      <alignment horizontal="center" vertical="center"/>
    </xf>
    <xf numFmtId="0" fontId="2" fillId="4" borderId="1" xfId="0" applyFont="1" applyFill="1" applyBorder="1"/>
    <xf numFmtId="16" fontId="3"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0" fontId="5" fillId="4" borderId="1" xfId="0" applyFont="1" applyFill="1" applyBorder="1" applyAlignment="1">
      <alignment horizontal="center"/>
    </xf>
    <xf numFmtId="0" fontId="3" fillId="4" borderId="1" xfId="0" applyFont="1" applyFill="1" applyBorder="1" applyAlignment="1">
      <alignment horizontal="center" vertical="center"/>
    </xf>
    <xf numFmtId="0" fontId="6" fillId="4" borderId="1" xfId="0" applyFont="1" applyFill="1" applyBorder="1"/>
    <xf numFmtId="0" fontId="6" fillId="4" borderId="1" xfId="0" applyFont="1" applyFill="1" applyBorder="1" applyAlignment="1">
      <alignment horizontal="center"/>
    </xf>
    <xf numFmtId="0" fontId="7" fillId="4" borderId="1" xfId="0" applyFont="1" applyFill="1" applyBorder="1" applyAlignment="1">
      <alignment horizontal="center" vertical="center"/>
    </xf>
    <xf numFmtId="164" fontId="7" fillId="4" borderId="1" xfId="0" applyNumberFormat="1" applyFont="1" applyFill="1" applyBorder="1" applyAlignment="1">
      <alignment horizontal="center" vertical="center"/>
    </xf>
    <xf numFmtId="0" fontId="0" fillId="4" borderId="1" xfId="0" applyFill="1" applyBorder="1" applyAlignment="1">
      <alignment vertical="center"/>
    </xf>
    <xf numFmtId="0" fontId="12" fillId="6" borderId="5" xfId="1" applyFont="1" applyFill="1" applyBorder="1" applyAlignment="1">
      <alignment horizontal="center" vertical="center" wrapText="1"/>
    </xf>
    <xf numFmtId="0" fontId="13" fillId="6" borderId="5" xfId="1" applyFont="1" applyFill="1" applyBorder="1" applyAlignment="1">
      <alignment horizontal="center" vertical="center" wrapText="1"/>
    </xf>
    <xf numFmtId="0" fontId="9" fillId="5" borderId="5" xfId="1" applyFont="1" applyFill="1" applyBorder="1" applyAlignment="1">
      <alignment horizontal="center" vertical="center" wrapText="1"/>
    </xf>
    <xf numFmtId="0" fontId="14" fillId="0" borderId="5" xfId="1" applyFont="1" applyBorder="1" applyAlignment="1">
      <alignment horizontal="center" vertical="center" wrapText="1"/>
    </xf>
    <xf numFmtId="0" fontId="14" fillId="0" borderId="5" xfId="1" applyFont="1" applyBorder="1" applyAlignment="1">
      <alignment horizontal="left" vertical="center" wrapText="1"/>
    </xf>
    <xf numFmtId="0" fontId="9" fillId="5" borderId="5" xfId="1" applyFont="1" applyFill="1" applyBorder="1" applyAlignment="1">
      <alignment horizontal="left" vertical="center"/>
    </xf>
    <xf numFmtId="0" fontId="12" fillId="6" borderId="1" xfId="1" applyFont="1" applyFill="1" applyBorder="1" applyAlignment="1">
      <alignment horizontal="center" vertical="top" wrapText="1"/>
    </xf>
    <xf numFmtId="0" fontId="7" fillId="0" borderId="1" xfId="1" applyFont="1" applyBorder="1" applyAlignment="1">
      <alignment horizontal="left" vertical="top" wrapText="1"/>
    </xf>
    <xf numFmtId="0" fontId="7" fillId="0" borderId="1" xfId="1" applyFont="1" applyBorder="1" applyAlignment="1">
      <alignment horizontal="center" vertical="top" wrapText="1"/>
    </xf>
    <xf numFmtId="0" fontId="17" fillId="0" borderId="6" xfId="0" applyFont="1" applyBorder="1" applyAlignment="1">
      <alignment horizontal="left" vertical="top"/>
    </xf>
    <xf numFmtId="0" fontId="17" fillId="0" borderId="6" xfId="0" applyFont="1" applyBorder="1" applyAlignment="1">
      <alignment horizontal="left" vertical="top" wrapText="1"/>
    </xf>
    <xf numFmtId="0" fontId="16" fillId="0" borderId="6" xfId="0" applyFont="1" applyBorder="1" applyAlignment="1">
      <alignment horizontal="left" vertical="top" wrapText="1"/>
    </xf>
    <xf numFmtId="0" fontId="18" fillId="0" borderId="6" xfId="0" applyFont="1" applyBorder="1" applyAlignment="1">
      <alignment horizontal="left" vertical="top"/>
    </xf>
    <xf numFmtId="0" fontId="18" fillId="0" borderId="6" xfId="0" applyFont="1" applyBorder="1" applyAlignment="1">
      <alignment horizontal="left" vertical="top" wrapText="1"/>
    </xf>
    <xf numFmtId="22" fontId="18" fillId="0" borderId="6" xfId="0" applyNumberFormat="1" applyFont="1" applyBorder="1" applyAlignment="1">
      <alignment horizontal="left" vertical="top"/>
    </xf>
    <xf numFmtId="0" fontId="16" fillId="0" borderId="0" xfId="0" applyFont="1" applyAlignment="1">
      <alignment horizontal="center" vertical="center" wrapText="1"/>
    </xf>
    <xf numFmtId="0" fontId="0" fillId="0" borderId="0" xfId="0" applyAlignment="1">
      <alignment vertical="center" wrapText="1"/>
    </xf>
    <xf numFmtId="0" fontId="9" fillId="5" borderId="5" xfId="1" applyFont="1" applyFill="1" applyBorder="1" applyAlignment="1">
      <alignment vertical="center" wrapText="1"/>
    </xf>
    <xf numFmtId="0" fontId="14" fillId="7" borderId="5" xfId="1" applyFont="1" applyFill="1" applyBorder="1" applyAlignment="1">
      <alignment horizontal="left" vertical="center" wrapText="1"/>
    </xf>
    <xf numFmtId="0" fontId="7" fillId="0" borderId="10" xfId="0" applyFont="1" applyBorder="1" applyAlignment="1">
      <alignment horizontal="left" vertical="center" wrapText="1"/>
    </xf>
    <xf numFmtId="0" fontId="7" fillId="0" borderId="10" xfId="0" applyFont="1" applyBorder="1" applyAlignment="1">
      <alignment horizontal="center" vertical="center"/>
    </xf>
    <xf numFmtId="0" fontId="7" fillId="12" borderId="10" xfId="0" applyFont="1" applyFill="1" applyBorder="1" applyAlignment="1">
      <alignment horizontal="left" vertical="top" wrapText="1"/>
    </xf>
    <xf numFmtId="0" fontId="7" fillId="12" borderId="10" xfId="0" applyFont="1" applyFill="1" applyBorder="1" applyAlignment="1">
      <alignment horizontal="center" vertical="top" wrapText="1"/>
    </xf>
    <xf numFmtId="0" fontId="7" fillId="13" borderId="10" xfId="0" applyFont="1" applyFill="1" applyBorder="1" applyAlignment="1">
      <alignment horizontal="left" vertical="top" wrapText="1"/>
    </xf>
    <xf numFmtId="0" fontId="7" fillId="13" borderId="10" xfId="0" applyFont="1" applyFill="1" applyBorder="1" applyAlignment="1">
      <alignment horizontal="center" vertical="top" wrapText="1"/>
    </xf>
    <xf numFmtId="0" fontId="7" fillId="0" borderId="10" xfId="0" applyFont="1" applyBorder="1" applyAlignment="1">
      <alignment horizontal="center" vertical="top"/>
    </xf>
    <xf numFmtId="0" fontId="7" fillId="0" borderId="10" xfId="0" applyFont="1" applyBorder="1" applyAlignment="1">
      <alignment horizontal="left" vertical="top" wrapText="1"/>
    </xf>
    <xf numFmtId="0" fontId="7" fillId="11" borderId="10" xfId="0" applyFont="1" applyFill="1" applyBorder="1" applyAlignment="1">
      <alignment horizontal="center" vertical="top" wrapText="1"/>
    </xf>
    <xf numFmtId="0" fontId="7" fillId="9" borderId="10" xfId="0" applyFont="1" applyFill="1" applyBorder="1" applyAlignment="1">
      <alignment horizontal="center" vertical="top"/>
    </xf>
    <xf numFmtId="0" fontId="7" fillId="14" borderId="10" xfId="0" applyFont="1" applyFill="1" applyBorder="1" applyAlignment="1">
      <alignment horizontal="center" vertical="top" wrapText="1"/>
    </xf>
    <xf numFmtId="0" fontId="7" fillId="10" borderId="10" xfId="0" applyFont="1" applyFill="1" applyBorder="1" applyAlignment="1">
      <alignment horizontal="center" vertical="top" wrapText="1"/>
    </xf>
    <xf numFmtId="0" fontId="7" fillId="15" borderId="10" xfId="0" applyFont="1" applyFill="1" applyBorder="1" applyAlignment="1">
      <alignment horizontal="center" vertical="top" wrapText="1"/>
    </xf>
    <xf numFmtId="0" fontId="7" fillId="16" borderId="10" xfId="0" applyFont="1" applyFill="1" applyBorder="1" applyAlignment="1">
      <alignment horizontal="center" vertical="top" wrapText="1"/>
    </xf>
    <xf numFmtId="0" fontId="7" fillId="17" borderId="10" xfId="0" applyFont="1" applyFill="1" applyBorder="1" applyAlignment="1">
      <alignment horizontal="center" vertical="top" wrapText="1"/>
    </xf>
    <xf numFmtId="0" fontId="7" fillId="0" borderId="7" xfId="0" applyFont="1" applyBorder="1" applyAlignment="1">
      <alignment horizontal="center" vertical="top" wrapText="1"/>
    </xf>
    <xf numFmtId="0" fontId="21" fillId="18" borderId="10" xfId="2" applyFont="1" applyFill="1" applyBorder="1"/>
    <xf numFmtId="0" fontId="22" fillId="0" borderId="10" xfId="2" applyFont="1" applyBorder="1" applyAlignment="1">
      <alignment horizontal="center" vertical="center" wrapText="1"/>
    </xf>
    <xf numFmtId="0" fontId="22" fillId="0" borderId="10" xfId="2" applyFont="1" applyBorder="1" applyAlignment="1">
      <alignment horizontal="left" vertical="center" wrapText="1"/>
    </xf>
    <xf numFmtId="0" fontId="9" fillId="5" borderId="5" xfId="1" applyFont="1" applyFill="1" applyBorder="1" applyAlignment="1">
      <alignment vertical="center"/>
    </xf>
    <xf numFmtId="0" fontId="23" fillId="19" borderId="7" xfId="0" applyFont="1" applyFill="1" applyBorder="1" applyAlignment="1">
      <alignment horizontal="center" vertical="center" wrapText="1"/>
    </xf>
    <xf numFmtId="0" fontId="24" fillId="0" borderId="7" xfId="0" applyFont="1" applyBorder="1" applyAlignment="1">
      <alignment horizontal="center" vertical="center" wrapText="1"/>
    </xf>
    <xf numFmtId="0" fontId="24" fillId="20" borderId="7" xfId="0" applyFont="1" applyFill="1" applyBorder="1" applyAlignment="1">
      <alignment horizontal="center" vertical="center" wrapText="1"/>
    </xf>
    <xf numFmtId="0" fontId="24" fillId="20" borderId="7" xfId="0" applyFont="1" applyFill="1" applyBorder="1" applyAlignment="1">
      <alignment vertical="top" wrapText="1"/>
    </xf>
    <xf numFmtId="0" fontId="24" fillId="0" borderId="7" xfId="0" applyFont="1" applyBorder="1" applyAlignment="1">
      <alignment vertical="top" wrapText="1"/>
    </xf>
    <xf numFmtId="0" fontId="23" fillId="0" borderId="7" xfId="0" applyFont="1" applyBorder="1" applyAlignment="1">
      <alignment horizontal="center" vertical="center" wrapText="1"/>
    </xf>
    <xf numFmtId="0" fontId="23" fillId="21" borderId="7" xfId="0" applyFont="1" applyFill="1" applyBorder="1" applyAlignment="1">
      <alignment horizontal="center" vertical="center" wrapText="1"/>
    </xf>
    <xf numFmtId="0" fontId="23" fillId="22" borderId="7" xfId="0" applyFont="1" applyFill="1" applyBorder="1" applyAlignment="1">
      <alignment horizontal="center" vertical="center" wrapText="1"/>
    </xf>
    <xf numFmtId="0" fontId="0" fillId="0" borderId="0" xfId="0" applyAlignment="1">
      <alignment wrapText="1"/>
    </xf>
    <xf numFmtId="0" fontId="7" fillId="0" borderId="7" xfId="0" applyFont="1" applyBorder="1" applyAlignment="1">
      <alignment vertical="top" wrapText="1"/>
    </xf>
    <xf numFmtId="0" fontId="1" fillId="4" borderId="1" xfId="0" applyFont="1" applyFill="1" applyBorder="1" applyAlignment="1">
      <alignment horizontal="center" vertical="center"/>
    </xf>
    <xf numFmtId="0" fontId="1" fillId="4" borderId="1" xfId="0" applyFont="1" applyFill="1" applyBorder="1" applyAlignment="1">
      <alignment horizontal="center" vertical="center" wrapText="1"/>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9" fillId="5" borderId="5" xfId="1" applyFont="1" applyFill="1" applyBorder="1" applyAlignment="1">
      <alignment horizontal="left" vertical="center"/>
    </xf>
    <xf numFmtId="0" fontId="9" fillId="5" borderId="11" xfId="1" applyFont="1" applyFill="1" applyBorder="1" applyAlignment="1">
      <alignment horizontal="left" vertical="center"/>
    </xf>
    <xf numFmtId="0" fontId="9" fillId="5" borderId="13" xfId="1" applyFont="1" applyFill="1" applyBorder="1" applyAlignment="1">
      <alignment horizontal="left" vertical="center"/>
    </xf>
    <xf numFmtId="0" fontId="9" fillId="5" borderId="12" xfId="1" applyFont="1" applyFill="1" applyBorder="1" applyAlignment="1">
      <alignment horizontal="left" vertical="center"/>
    </xf>
    <xf numFmtId="0" fontId="9" fillId="5" borderId="11" xfId="1" applyFont="1" applyFill="1" applyBorder="1" applyAlignment="1">
      <alignment horizontal="left" vertical="center" wrapText="1"/>
    </xf>
    <xf numFmtId="0" fontId="9" fillId="5" borderId="12" xfId="1" applyFont="1" applyFill="1" applyBorder="1" applyAlignment="1">
      <alignment horizontal="left" vertical="center" wrapText="1"/>
    </xf>
    <xf numFmtId="0" fontId="13" fillId="6" borderId="8" xfId="1" applyFont="1" applyFill="1" applyBorder="1" applyAlignment="1">
      <alignment horizontal="center" vertical="center"/>
    </xf>
    <xf numFmtId="0" fontId="13" fillId="6" borderId="9" xfId="1" applyFont="1" applyFill="1" applyBorder="1" applyAlignment="1">
      <alignment horizontal="center" vertical="center"/>
    </xf>
    <xf numFmtId="0" fontId="9" fillId="5" borderId="5" xfId="1" applyFont="1" applyFill="1" applyBorder="1" applyAlignment="1">
      <alignment horizontal="left" vertical="center" wrapText="1"/>
    </xf>
    <xf numFmtId="0" fontId="13" fillId="6" borderId="5" xfId="1" applyFont="1" applyFill="1" applyBorder="1" applyAlignment="1">
      <alignment horizontal="left" vertical="center"/>
    </xf>
    <xf numFmtId="0" fontId="11" fillId="0" borderId="0" xfId="1" applyFont="1" applyAlignment="1">
      <alignment horizontal="left" vertical="center" wrapText="1"/>
    </xf>
    <xf numFmtId="0" fontId="15" fillId="5" borderId="0" xfId="1" applyFont="1" applyFill="1" applyAlignment="1">
      <alignment horizontal="left" vertical="center"/>
    </xf>
    <xf numFmtId="0" fontId="15" fillId="8" borderId="10" xfId="0" applyFont="1" applyFill="1" applyBorder="1" applyAlignment="1">
      <alignment horizontal="left" vertical="center"/>
    </xf>
    <xf numFmtId="0" fontId="10" fillId="0" borderId="0" xfId="1" applyFont="1" applyAlignment="1"/>
    <xf numFmtId="0" fontId="0" fillId="8" borderId="10" xfId="0" applyFill="1" applyBorder="1" applyAlignment="1"/>
  </cellXfs>
  <cellStyles count="3">
    <cellStyle name="Normal" xfId="0" builtinId="0"/>
    <cellStyle name="Normal 2" xfId="1" xr:uid="{2B7B5E0A-DC68-4A97-BDD4-9C56F43F3CCC}"/>
    <cellStyle name="Normal 3" xfId="2" xr:uid="{0B171B16-B59B-4FE3-8340-C3AB0D3EF574}"/>
  </cellStyles>
  <dxfs count="6">
    <dxf>
      <fill>
        <patternFill>
          <bgColor rgb="FF4472C4"/>
        </patternFill>
      </fill>
    </dxf>
    <dxf>
      <font>
        <b/>
        <sz val="10"/>
        <color rgb="FFFFFFFF"/>
        <name val="Arial"/>
        <charset val="1"/>
      </font>
      <fill>
        <patternFill>
          <bgColor rgb="FFFF0000"/>
        </patternFill>
      </fill>
    </dxf>
    <dxf>
      <font>
        <b/>
        <sz val="10"/>
        <color rgb="FFFFFFFF"/>
        <name val="Arial"/>
        <charset val="1"/>
      </font>
      <fill>
        <patternFill>
          <bgColor rgb="FFFF6600"/>
        </patternFill>
      </fill>
    </dxf>
    <dxf>
      <font>
        <b/>
        <sz val="10"/>
        <color rgb="FF000000"/>
        <name val="Arial"/>
        <charset val="1"/>
      </font>
      <fill>
        <patternFill>
          <bgColor rgb="FFFFC000"/>
        </patternFill>
      </fill>
    </dxf>
    <dxf>
      <font>
        <b/>
        <sz val="10"/>
        <color rgb="FFFFFFFF"/>
        <name val="Arial"/>
        <charset val="1"/>
      </font>
      <fill>
        <patternFill>
          <bgColor rgb="FF70AD47"/>
        </patternFill>
      </fill>
    </dxf>
    <dxf>
      <font>
        <b/>
        <sz val="10"/>
        <color rgb="FFFFFFFF"/>
        <name val="Arial"/>
        <charset val="1"/>
      </font>
      <fill>
        <patternFill>
          <bgColor rgb="FF37562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229274</xdr:colOff>
      <xdr:row>1</xdr:row>
      <xdr:rowOff>28575</xdr:rowOff>
    </xdr:from>
    <xdr:to>
      <xdr:col>19</xdr:col>
      <xdr:colOff>1</xdr:colOff>
      <xdr:row>11</xdr:row>
      <xdr:rowOff>38100</xdr:rowOff>
    </xdr:to>
    <xdr:pic>
      <xdr:nvPicPr>
        <xdr:cNvPr id="2" name="Picture 1">
          <a:extLst>
            <a:ext uri="{FF2B5EF4-FFF2-40B4-BE49-F238E27FC236}">
              <a16:creationId xmlns:a16="http://schemas.microsoft.com/office/drawing/2014/main" id="{780771EF-0C10-0ECE-B970-7EAF494BC0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59649" y="409575"/>
          <a:ext cx="10410152" cy="5153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9952F-275B-48D1-93F4-DAF73F709DF8}">
  <dimension ref="A1:E8"/>
  <sheetViews>
    <sheetView tabSelected="1" zoomScale="79" workbookViewId="0">
      <selection activeCell="D5" sqref="D5"/>
    </sheetView>
  </sheetViews>
  <sheetFormatPr defaultRowHeight="15"/>
  <cols>
    <col min="1" max="1" width="4.42578125" customWidth="1"/>
    <col min="2" max="2" width="40.140625" customWidth="1"/>
    <col min="3" max="3" width="53.28515625" customWidth="1"/>
    <col min="4" max="4" width="55" style="63" customWidth="1"/>
    <col min="5" max="5" width="63.5703125" customWidth="1"/>
    <col min="6" max="6" width="40.7109375" customWidth="1"/>
  </cols>
  <sheetData>
    <row r="1" spans="1:5" ht="30">
      <c r="A1" s="25" t="s">
        <v>0</v>
      </c>
      <c r="B1" s="25" t="s">
        <v>1</v>
      </c>
      <c r="C1" s="26" t="s">
        <v>2</v>
      </c>
      <c r="D1" s="27" t="s">
        <v>3</v>
      </c>
      <c r="E1" s="27" t="s">
        <v>4</v>
      </c>
    </row>
    <row r="2" spans="1:5" ht="60">
      <c r="A2" s="28">
        <v>1</v>
      </c>
      <c r="B2" s="28" t="s">
        <v>5</v>
      </c>
      <c r="C2" s="29" t="s">
        <v>6</v>
      </c>
      <c r="D2" s="63" t="s">
        <v>7</v>
      </c>
      <c r="E2" s="29" t="s">
        <v>8</v>
      </c>
    </row>
    <row r="3" spans="1:5">
      <c r="A3" s="28">
        <v>2</v>
      </c>
      <c r="B3" s="28" t="s">
        <v>9</v>
      </c>
      <c r="C3" s="29" t="s">
        <v>10</v>
      </c>
      <c r="D3" s="29" t="s">
        <v>11</v>
      </c>
      <c r="E3" s="28" t="s">
        <v>12</v>
      </c>
    </row>
    <row r="4" spans="1:5" ht="90">
      <c r="A4" s="28">
        <v>3</v>
      </c>
      <c r="B4" s="28" t="s">
        <v>13</v>
      </c>
      <c r="C4" s="29" t="s">
        <v>14</v>
      </c>
      <c r="D4" s="29" t="s">
        <v>15</v>
      </c>
      <c r="E4" s="28"/>
    </row>
    <row r="5" spans="1:5" ht="105">
      <c r="A5" s="28">
        <v>6</v>
      </c>
      <c r="B5" s="28"/>
      <c r="C5" s="30"/>
      <c r="D5" s="29" t="s">
        <v>16</v>
      </c>
      <c r="E5" s="28"/>
    </row>
    <row r="6" spans="1:5" ht="30">
      <c r="A6" s="28">
        <v>7</v>
      </c>
      <c r="B6" s="28"/>
      <c r="C6" s="30"/>
      <c r="D6" s="29" t="s">
        <v>17</v>
      </c>
      <c r="E6" s="28"/>
    </row>
    <row r="7" spans="1:5" ht="30">
      <c r="A7" s="28"/>
      <c r="B7" s="28"/>
      <c r="C7" s="30"/>
      <c r="D7" s="29" t="s">
        <v>18</v>
      </c>
      <c r="E7" s="28"/>
    </row>
    <row r="8" spans="1:5" ht="30">
      <c r="D8" s="29" t="s">
        <v>19</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753F6-0438-45B7-A85B-3B2D54627362}">
  <dimension ref="B2:BF23"/>
  <sheetViews>
    <sheetView zoomScaleNormal="100" workbookViewId="0">
      <selection activeCell="G25" sqref="G25"/>
    </sheetView>
  </sheetViews>
  <sheetFormatPr defaultColWidth="9.140625" defaultRowHeight="15"/>
  <cols>
    <col min="1" max="1" width="7.7109375" style="1" customWidth="1"/>
    <col min="2" max="2" width="9.140625" style="1"/>
    <col min="3" max="3" width="81.140625" style="1" customWidth="1"/>
    <col min="4" max="4" width="5.5703125" style="1" customWidth="1"/>
    <col min="5" max="5" width="6.140625" style="1" bestFit="1" customWidth="1"/>
    <col min="6" max="6" width="7.5703125" style="1" bestFit="1" customWidth="1"/>
    <col min="7" max="7" width="9.140625" style="1"/>
    <col min="8" max="33" width="0" style="1" hidden="1" customWidth="1"/>
    <col min="34" max="16384" width="9.140625" style="1"/>
  </cols>
  <sheetData>
    <row r="2" spans="2:58">
      <c r="B2" s="2"/>
      <c r="C2" s="3" t="s">
        <v>20</v>
      </c>
      <c r="D2" s="4"/>
      <c r="E2" s="4"/>
      <c r="F2" s="4"/>
      <c r="G2" s="3" t="s">
        <v>21</v>
      </c>
      <c r="H2" s="65" t="s">
        <v>22</v>
      </c>
      <c r="I2" s="65"/>
      <c r="J2" s="65"/>
      <c r="K2" s="65"/>
      <c r="L2" s="65" t="s">
        <v>23</v>
      </c>
      <c r="M2" s="65"/>
      <c r="N2" s="65"/>
      <c r="O2" s="65"/>
      <c r="P2" s="65" t="s">
        <v>24</v>
      </c>
      <c r="Q2" s="65"/>
      <c r="R2" s="65"/>
      <c r="S2" s="65"/>
      <c r="T2" s="65"/>
      <c r="U2" s="65" t="s">
        <v>25</v>
      </c>
      <c r="V2" s="65"/>
      <c r="W2" s="65"/>
      <c r="X2" s="65"/>
      <c r="Y2" s="65" t="s">
        <v>26</v>
      </c>
      <c r="Z2" s="65"/>
      <c r="AA2" s="65"/>
      <c r="AB2" s="65"/>
      <c r="AC2" s="65" t="s">
        <v>27</v>
      </c>
      <c r="AD2" s="65"/>
      <c r="AE2" s="65"/>
      <c r="AF2" s="65"/>
      <c r="AG2" s="65"/>
      <c r="AH2" s="65" t="s">
        <v>28</v>
      </c>
      <c r="AI2" s="65"/>
      <c r="AJ2" s="65"/>
      <c r="AK2" s="65"/>
      <c r="AL2" s="65" t="s">
        <v>29</v>
      </c>
      <c r="AM2" s="65"/>
      <c r="AN2" s="65"/>
      <c r="AO2" s="65"/>
      <c r="AP2" s="65"/>
      <c r="AQ2" s="65" t="s">
        <v>30</v>
      </c>
      <c r="AR2" s="65"/>
      <c r="AS2" s="65"/>
      <c r="AT2" s="65"/>
      <c r="AU2" s="67" t="s">
        <v>31</v>
      </c>
      <c r="AV2" s="68"/>
      <c r="AW2" s="68"/>
      <c r="AX2" s="69"/>
      <c r="AY2" s="70" t="s">
        <v>32</v>
      </c>
      <c r="AZ2" s="71"/>
      <c r="BA2" s="71"/>
      <c r="BB2" s="71"/>
      <c r="BC2" s="71" t="s">
        <v>33</v>
      </c>
      <c r="BD2" s="71"/>
      <c r="BE2" s="71"/>
      <c r="BF2" s="72"/>
    </row>
    <row r="3" spans="2:58">
      <c r="B3" s="5"/>
      <c r="C3" s="6"/>
      <c r="D3" s="66" t="s">
        <v>34</v>
      </c>
      <c r="E3" s="66" t="s">
        <v>35</v>
      </c>
      <c r="F3" s="66" t="s">
        <v>36</v>
      </c>
      <c r="G3" s="3" t="s">
        <v>37</v>
      </c>
      <c r="H3" s="7">
        <v>46027</v>
      </c>
      <c r="I3" s="7">
        <v>46034</v>
      </c>
      <c r="J3" s="7">
        <v>46041</v>
      </c>
      <c r="K3" s="7">
        <v>46048</v>
      </c>
      <c r="L3" s="7">
        <v>46055</v>
      </c>
      <c r="M3" s="7">
        <v>46062</v>
      </c>
      <c r="N3" s="7">
        <v>46069</v>
      </c>
      <c r="O3" s="7">
        <v>46076</v>
      </c>
      <c r="P3" s="7">
        <v>46083</v>
      </c>
      <c r="Q3" s="7">
        <v>46090</v>
      </c>
      <c r="R3" s="7">
        <v>46097</v>
      </c>
      <c r="S3" s="7">
        <v>46104</v>
      </c>
      <c r="T3" s="7">
        <v>46111</v>
      </c>
      <c r="U3" s="7">
        <v>46118</v>
      </c>
      <c r="V3" s="7">
        <v>46125</v>
      </c>
      <c r="W3" s="7">
        <v>46132</v>
      </c>
      <c r="X3" s="7">
        <v>46139</v>
      </c>
      <c r="Y3" s="7">
        <v>46146</v>
      </c>
      <c r="Z3" s="7">
        <v>46153</v>
      </c>
      <c r="AA3" s="7">
        <v>46160</v>
      </c>
      <c r="AB3" s="7">
        <v>46167</v>
      </c>
      <c r="AC3" s="7">
        <v>46174</v>
      </c>
      <c r="AD3" s="7">
        <v>46181</v>
      </c>
      <c r="AE3" s="7">
        <v>46188</v>
      </c>
      <c r="AF3" s="7">
        <v>46195</v>
      </c>
      <c r="AG3" s="7">
        <v>46202</v>
      </c>
      <c r="AH3" s="7">
        <v>46209</v>
      </c>
      <c r="AI3" s="7">
        <v>46216</v>
      </c>
      <c r="AJ3" s="7">
        <v>46223</v>
      </c>
      <c r="AK3" s="7">
        <v>46230</v>
      </c>
      <c r="AL3" s="7">
        <v>46237</v>
      </c>
      <c r="AM3" s="7">
        <v>46244</v>
      </c>
      <c r="AN3" s="7">
        <v>46251</v>
      </c>
      <c r="AO3" s="7">
        <v>46258</v>
      </c>
      <c r="AP3" s="7">
        <v>46265</v>
      </c>
      <c r="AQ3" s="7">
        <v>46272</v>
      </c>
      <c r="AR3" s="7">
        <v>46279</v>
      </c>
      <c r="AS3" s="7">
        <v>46286</v>
      </c>
      <c r="AT3" s="7">
        <v>46293</v>
      </c>
      <c r="AU3" s="7">
        <v>46300</v>
      </c>
      <c r="AV3" s="7">
        <v>46307</v>
      </c>
      <c r="AW3" s="7">
        <v>46314</v>
      </c>
      <c r="AX3" s="7">
        <v>46321</v>
      </c>
      <c r="AY3" s="7">
        <v>46328</v>
      </c>
      <c r="AZ3" s="7">
        <v>46335</v>
      </c>
      <c r="BA3" s="7">
        <v>46342</v>
      </c>
      <c r="BB3" s="7">
        <v>46349</v>
      </c>
      <c r="BC3" s="7">
        <v>46356</v>
      </c>
      <c r="BD3" s="7">
        <v>46363</v>
      </c>
      <c r="BE3" s="7">
        <v>46370</v>
      </c>
      <c r="BF3" s="7">
        <v>46377</v>
      </c>
    </row>
    <row r="4" spans="2:58">
      <c r="B4" s="8" t="s">
        <v>38</v>
      </c>
      <c r="C4" s="9" t="s">
        <v>39</v>
      </c>
      <c r="D4" s="66"/>
      <c r="E4" s="66"/>
      <c r="F4" s="66"/>
      <c r="G4" s="3" t="s">
        <v>40</v>
      </c>
      <c r="H4" s="10">
        <v>1</v>
      </c>
      <c r="I4" s="10">
        <v>2</v>
      </c>
      <c r="J4" s="10">
        <v>3</v>
      </c>
      <c r="K4" s="10">
        <v>4</v>
      </c>
      <c r="L4" s="10">
        <v>5</v>
      </c>
      <c r="M4" s="10">
        <v>6</v>
      </c>
      <c r="N4" s="10">
        <v>7</v>
      </c>
      <c r="O4" s="10">
        <v>8</v>
      </c>
      <c r="P4" s="10">
        <v>9</v>
      </c>
      <c r="Q4" s="10">
        <v>10</v>
      </c>
      <c r="R4" s="10">
        <v>11</v>
      </c>
      <c r="S4" s="10">
        <v>12</v>
      </c>
      <c r="T4" s="10">
        <v>13</v>
      </c>
      <c r="U4" s="10">
        <v>14</v>
      </c>
      <c r="V4" s="10">
        <v>15</v>
      </c>
      <c r="W4" s="10">
        <v>16</v>
      </c>
      <c r="X4" s="10">
        <v>17</v>
      </c>
      <c r="Y4" s="10">
        <v>18</v>
      </c>
      <c r="Z4" s="10">
        <v>19</v>
      </c>
      <c r="AA4" s="10">
        <v>20</v>
      </c>
      <c r="AB4" s="10">
        <v>21</v>
      </c>
      <c r="AC4" s="10">
        <v>22</v>
      </c>
      <c r="AD4" s="10">
        <v>23</v>
      </c>
      <c r="AE4" s="10">
        <v>24</v>
      </c>
      <c r="AF4" s="10">
        <v>25</v>
      </c>
      <c r="AG4" s="10">
        <v>26</v>
      </c>
      <c r="AH4" s="10">
        <v>27</v>
      </c>
      <c r="AI4" s="10">
        <v>28</v>
      </c>
      <c r="AJ4" s="10">
        <v>29</v>
      </c>
      <c r="AK4" s="10">
        <v>30</v>
      </c>
      <c r="AL4" s="10">
        <v>31</v>
      </c>
      <c r="AM4" s="10">
        <v>32</v>
      </c>
      <c r="AN4" s="10">
        <v>33</v>
      </c>
      <c r="AO4" s="10">
        <v>34</v>
      </c>
      <c r="AP4" s="10">
        <v>35</v>
      </c>
      <c r="AQ4" s="10">
        <v>36</v>
      </c>
      <c r="AR4" s="10">
        <v>37</v>
      </c>
      <c r="AS4" s="10">
        <v>38</v>
      </c>
      <c r="AT4" s="10">
        <v>39</v>
      </c>
      <c r="AU4" s="10">
        <v>40</v>
      </c>
      <c r="AV4" s="10">
        <v>41</v>
      </c>
      <c r="AW4" s="10">
        <v>42</v>
      </c>
      <c r="AX4" s="10">
        <v>43</v>
      </c>
      <c r="AY4" s="10">
        <v>44</v>
      </c>
      <c r="AZ4" s="10">
        <v>45</v>
      </c>
      <c r="BA4" s="10">
        <v>46</v>
      </c>
      <c r="BB4" s="10">
        <v>47</v>
      </c>
      <c r="BC4" s="10">
        <v>48</v>
      </c>
      <c r="BD4" s="10">
        <v>49</v>
      </c>
      <c r="BE4" s="10">
        <v>50</v>
      </c>
      <c r="BF4" s="10">
        <v>51</v>
      </c>
    </row>
    <row r="5" spans="2:58">
      <c r="B5" s="2" t="s">
        <v>41</v>
      </c>
      <c r="C5" s="9"/>
      <c r="D5" s="3"/>
      <c r="E5" s="3"/>
      <c r="F5" s="3"/>
      <c r="G5" s="3"/>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row>
    <row r="6" spans="2:58">
      <c r="B6" s="2">
        <v>0</v>
      </c>
      <c r="C6" s="11" t="s">
        <v>42</v>
      </c>
      <c r="D6" s="3"/>
      <c r="E6" s="3"/>
      <c r="F6" s="3"/>
      <c r="G6" s="3"/>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row>
    <row r="7" spans="2:58">
      <c r="B7" s="2">
        <v>1</v>
      </c>
      <c r="C7" s="11" t="s">
        <v>43</v>
      </c>
      <c r="D7" s="12">
        <v>0</v>
      </c>
      <c r="E7" s="13">
        <v>27</v>
      </c>
      <c r="F7" s="14" t="str">
        <f t="shared" ref="F7:F12" ca="1" si="0">IF(D7=0,"",MAX(0,MIN(1,(TODAY()-(DATE(2026,1,5)+(E7-1)*7))/(D7*7))))</f>
        <v/>
      </c>
      <c r="G7" s="4"/>
      <c r="H7" s="15"/>
      <c r="I7" s="15"/>
      <c r="J7" s="15"/>
      <c r="K7" s="15"/>
      <c r="L7" s="15"/>
      <c r="M7" s="15"/>
      <c r="N7" s="15"/>
      <c r="O7" s="15"/>
      <c r="P7" s="15"/>
      <c r="Q7" s="15"/>
      <c r="R7" s="15"/>
      <c r="S7" s="15"/>
      <c r="T7" s="15"/>
      <c r="U7" s="15"/>
      <c r="V7" s="15"/>
      <c r="W7" s="15"/>
      <c r="X7" s="15"/>
      <c r="Y7" s="15"/>
      <c r="Z7" s="15"/>
      <c r="AA7" s="15"/>
      <c r="AB7" s="15"/>
      <c r="AC7" s="15"/>
      <c r="AD7" s="15"/>
      <c r="AE7" s="15"/>
      <c r="AF7" s="15"/>
      <c r="AG7" s="4"/>
      <c r="AH7" s="4"/>
      <c r="AI7" s="4"/>
      <c r="AJ7" s="4"/>
      <c r="AK7" s="4"/>
      <c r="AL7" s="4"/>
      <c r="AM7" s="4"/>
      <c r="AN7" s="4"/>
      <c r="AO7" s="4"/>
      <c r="AP7" s="4"/>
      <c r="AQ7" s="4"/>
      <c r="AR7" s="4"/>
      <c r="AS7" s="4"/>
      <c r="AT7" s="4"/>
      <c r="AU7" s="4"/>
      <c r="AV7" s="4"/>
      <c r="AW7" s="4"/>
      <c r="AX7" s="4"/>
      <c r="AY7" s="4"/>
      <c r="AZ7" s="4"/>
      <c r="BA7" s="4"/>
      <c r="BB7" s="4"/>
      <c r="BC7" s="4"/>
      <c r="BD7" s="4"/>
      <c r="BE7" s="4"/>
      <c r="BF7" s="4"/>
    </row>
    <row r="8" spans="2:58">
      <c r="B8" s="2">
        <v>2</v>
      </c>
      <c r="C8" s="11" t="s">
        <v>44</v>
      </c>
      <c r="D8" s="12">
        <v>4</v>
      </c>
      <c r="E8" s="13">
        <v>27</v>
      </c>
      <c r="F8" s="14">
        <f t="shared" ca="1" si="0"/>
        <v>0.8571428571428571</v>
      </c>
      <c r="G8" s="4"/>
      <c r="H8" s="15"/>
      <c r="I8" s="15"/>
      <c r="J8" s="15"/>
      <c r="K8" s="15"/>
      <c r="L8" s="15"/>
      <c r="M8" s="15"/>
      <c r="N8" s="15"/>
      <c r="O8" s="15"/>
      <c r="P8" s="15"/>
      <c r="Q8" s="15"/>
      <c r="R8" s="15"/>
      <c r="S8" s="15"/>
      <c r="T8" s="15"/>
      <c r="U8" s="15"/>
      <c r="V8" s="15"/>
      <c r="W8" s="15"/>
      <c r="X8" s="15"/>
      <c r="Y8" s="15"/>
      <c r="Z8" s="15"/>
      <c r="AA8" s="15"/>
      <c r="AB8" s="15"/>
      <c r="AC8" s="15"/>
      <c r="AD8" s="15"/>
      <c r="AE8" s="15"/>
      <c r="AF8" s="15"/>
      <c r="AG8" s="4"/>
      <c r="AH8" s="4"/>
      <c r="AI8" s="4"/>
      <c r="AJ8" s="4"/>
      <c r="AK8" s="4"/>
      <c r="AL8" s="4"/>
      <c r="AM8" s="4"/>
      <c r="AN8" s="4"/>
      <c r="AO8" s="4"/>
      <c r="AP8" s="4"/>
      <c r="AQ8" s="4"/>
      <c r="AR8" s="4"/>
      <c r="AS8" s="4"/>
      <c r="AT8" s="4"/>
      <c r="AU8" s="4"/>
      <c r="AV8" s="4"/>
      <c r="AW8" s="4"/>
      <c r="AX8" s="4"/>
      <c r="AY8" s="4"/>
      <c r="AZ8" s="4"/>
      <c r="BA8" s="4"/>
      <c r="BB8" s="4"/>
      <c r="BC8" s="4"/>
      <c r="BD8" s="4"/>
      <c r="BE8" s="4"/>
      <c r="BF8" s="4"/>
    </row>
    <row r="9" spans="2:58">
      <c r="B9" s="2">
        <v>3</v>
      </c>
      <c r="C9" s="11" t="s">
        <v>45</v>
      </c>
      <c r="D9" s="12">
        <v>4</v>
      </c>
      <c r="E9" s="13">
        <v>33</v>
      </c>
      <c r="F9" s="14">
        <f t="shared" ca="1" si="0"/>
        <v>0</v>
      </c>
      <c r="G9" s="4"/>
      <c r="H9" s="15"/>
      <c r="I9" s="15"/>
      <c r="J9" s="15"/>
      <c r="K9" s="15"/>
      <c r="L9" s="15"/>
      <c r="M9" s="15"/>
      <c r="N9" s="15"/>
      <c r="O9" s="15"/>
      <c r="P9" s="15"/>
      <c r="Q9" s="15"/>
      <c r="R9" s="15"/>
      <c r="S9" s="15"/>
      <c r="T9" s="15"/>
      <c r="U9" s="15"/>
      <c r="V9" s="15"/>
      <c r="W9" s="15"/>
      <c r="X9" s="15"/>
      <c r="Y9" s="15"/>
      <c r="Z9" s="15"/>
      <c r="AA9" s="15"/>
      <c r="AB9" s="15"/>
      <c r="AC9" s="15"/>
      <c r="AD9" s="15"/>
      <c r="AE9" s="15"/>
      <c r="AF9" s="15"/>
      <c r="AG9" s="4"/>
      <c r="AH9" s="4"/>
      <c r="AI9" s="4"/>
      <c r="AJ9" s="4"/>
      <c r="AK9" s="4"/>
      <c r="AL9" s="4"/>
      <c r="AM9" s="4"/>
      <c r="AN9" s="4"/>
      <c r="AO9" s="4"/>
      <c r="AP9" s="4"/>
      <c r="AQ9" s="4"/>
      <c r="AR9" s="4"/>
      <c r="AS9" s="4"/>
      <c r="AT9" s="4"/>
      <c r="AU9" s="4"/>
      <c r="AV9" s="4"/>
      <c r="AW9" s="4"/>
      <c r="AX9" s="4"/>
      <c r="AY9" s="4"/>
      <c r="AZ9" s="4"/>
      <c r="BA9" s="4"/>
      <c r="BB9" s="4"/>
      <c r="BC9" s="4"/>
      <c r="BD9" s="4"/>
      <c r="BE9" s="4"/>
      <c r="BF9" s="4"/>
    </row>
    <row r="10" spans="2:58">
      <c r="B10" s="2">
        <v>4</v>
      </c>
      <c r="C10" s="11" t="s">
        <v>46</v>
      </c>
      <c r="D10" s="12">
        <v>8</v>
      </c>
      <c r="E10" s="13">
        <v>31</v>
      </c>
      <c r="F10" s="14">
        <f t="shared" ca="1" si="0"/>
        <v>0</v>
      </c>
      <c r="G10" s="4"/>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row>
    <row r="11" spans="2:58">
      <c r="B11" s="2" t="s">
        <v>47</v>
      </c>
      <c r="C11" s="11"/>
      <c r="D11" s="12"/>
      <c r="E11" s="13"/>
      <c r="F11" s="14"/>
      <c r="G11" s="4"/>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row>
    <row r="12" spans="2:58">
      <c r="B12" s="2">
        <v>1</v>
      </c>
      <c r="C12" s="11" t="s">
        <v>48</v>
      </c>
      <c r="D12" s="12">
        <v>5</v>
      </c>
      <c r="E12" s="13">
        <v>40</v>
      </c>
      <c r="F12" s="14">
        <f t="shared" ca="1" si="0"/>
        <v>0</v>
      </c>
      <c r="G12" s="4"/>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row>
    <row r="13" spans="2:58">
      <c r="B13" s="2">
        <v>2</v>
      </c>
      <c r="C13" s="11" t="s">
        <v>49</v>
      </c>
      <c r="D13" s="12">
        <v>4</v>
      </c>
      <c r="E13" s="13">
        <v>45</v>
      </c>
      <c r="F13" s="14">
        <f t="shared" ref="F13" ca="1" si="1">IF(D13=0,"",MAX(0,MIN(1,(TODAY()-(DATE(2026,1,5)+(E13-1)*7))/(D13*7))))</f>
        <v>0</v>
      </c>
      <c r="G13" s="4"/>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row>
    <row r="14" spans="2:58">
      <c r="B14" s="2">
        <v>3</v>
      </c>
      <c r="C14" s="11" t="s">
        <v>50</v>
      </c>
      <c r="D14" s="12">
        <v>4</v>
      </c>
      <c r="E14" s="13">
        <v>49</v>
      </c>
      <c r="F14" s="14">
        <f t="shared" ref="F14:F23" ca="1" si="2">IF(D14=0,"",MAX(0,MIN(1,(TODAY()-(DATE(2026,1,5)+(E14-1)*7))/(D14*7))))</f>
        <v>0</v>
      </c>
      <c r="G14" s="4"/>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row>
    <row r="15" spans="2:58">
      <c r="B15" s="2"/>
      <c r="C15" s="11"/>
      <c r="D15" s="12"/>
      <c r="E15" s="13"/>
      <c r="F15" s="14" t="str">
        <f t="shared" ca="1" si="2"/>
        <v/>
      </c>
      <c r="G15" s="4"/>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row>
    <row r="16" spans="2:58">
      <c r="B16" s="2"/>
      <c r="C16" s="11"/>
      <c r="D16" s="12"/>
      <c r="E16" s="13"/>
      <c r="F16" s="14" t="str">
        <f t="shared" ca="1" si="2"/>
        <v/>
      </c>
      <c r="G16" s="4"/>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row>
    <row r="17" spans="2:58">
      <c r="B17" s="2"/>
      <c r="C17" s="11"/>
      <c r="D17" s="12"/>
      <c r="E17" s="13"/>
      <c r="F17" s="14" t="str">
        <f t="shared" ca="1" si="2"/>
        <v/>
      </c>
      <c r="G17" s="4"/>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row>
    <row r="18" spans="2:58">
      <c r="B18" s="2"/>
      <c r="C18" s="11"/>
      <c r="D18" s="12"/>
      <c r="E18" s="13"/>
      <c r="F18" s="14" t="str">
        <f t="shared" ca="1" si="2"/>
        <v/>
      </c>
      <c r="G18" s="4"/>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row>
    <row r="19" spans="2:58">
      <c r="B19" s="2"/>
      <c r="C19" s="11"/>
      <c r="D19" s="12"/>
      <c r="E19" s="13"/>
      <c r="F19" s="14" t="str">
        <f t="shared" ca="1" si="2"/>
        <v/>
      </c>
      <c r="G19" s="4"/>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row>
    <row r="20" spans="2:58">
      <c r="B20" s="2"/>
      <c r="C20" s="11"/>
      <c r="D20" s="12"/>
      <c r="E20" s="13"/>
      <c r="F20" s="14" t="str">
        <f t="shared" ca="1" si="2"/>
        <v/>
      </c>
      <c r="G20" s="4"/>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row>
    <row r="21" spans="2:58">
      <c r="B21" s="2"/>
      <c r="C21" s="11"/>
      <c r="D21" s="12"/>
      <c r="E21" s="13"/>
      <c r="F21" s="14" t="str">
        <f t="shared" ca="1" si="2"/>
        <v/>
      </c>
      <c r="G21" s="4"/>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row>
    <row r="22" spans="2:58">
      <c r="B22" s="2"/>
      <c r="C22" s="11"/>
      <c r="D22" s="12"/>
      <c r="E22" s="13"/>
      <c r="F22" s="14" t="str">
        <f t="shared" ca="1" si="2"/>
        <v/>
      </c>
      <c r="G22" s="4"/>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row>
    <row r="23" spans="2:58">
      <c r="B23" s="2"/>
      <c r="C23" s="11"/>
      <c r="D23" s="12"/>
      <c r="E23" s="13"/>
      <c r="F23" s="14" t="str">
        <f t="shared" ca="1" si="2"/>
        <v/>
      </c>
      <c r="G23" s="4"/>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row>
  </sheetData>
  <mergeCells count="15">
    <mergeCell ref="AU2:AX2"/>
    <mergeCell ref="AY2:BB2"/>
    <mergeCell ref="BC2:BF2"/>
    <mergeCell ref="AH2:AK2"/>
    <mergeCell ref="AL2:AP2"/>
    <mergeCell ref="AQ2:AT2"/>
    <mergeCell ref="P2:T2"/>
    <mergeCell ref="U2:X2"/>
    <mergeCell ref="Y2:AB2"/>
    <mergeCell ref="AC2:AG2"/>
    <mergeCell ref="D3:D4"/>
    <mergeCell ref="E3:E4"/>
    <mergeCell ref="F3:F4"/>
    <mergeCell ref="H2:K2"/>
    <mergeCell ref="L2:O2"/>
  </mergeCells>
  <conditionalFormatting sqref="F7:F23">
    <cfRule type="expression" dxfId="5" priority="4">
      <formula>F7=1</formula>
    </cfRule>
    <cfRule type="expression" dxfId="4" priority="5">
      <formula>AND(F7&gt;=0.76,F7&lt;1)</formula>
    </cfRule>
    <cfRule type="expression" dxfId="3" priority="6">
      <formula>AND(F7&gt;=0.51,F7&lt;=0.75)</formula>
    </cfRule>
    <cfRule type="expression" dxfId="2" priority="7">
      <formula>AND(F7&gt;=0.26,F7&lt;=0.5)</formula>
    </cfRule>
    <cfRule type="expression" dxfId="1" priority="8">
      <formula>AND(F7&gt;0,F7&lt;=0.25)</formula>
    </cfRule>
  </conditionalFormatting>
  <conditionalFormatting sqref="H7:BF23">
    <cfRule type="expression" dxfId="0" priority="2">
      <formula>AND(H$4&gt;=$E7,H$4&lt;$E7+$D7)</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5A97C-C9EF-4B25-A675-6F57B7482F6D}">
  <dimension ref="A1:P128"/>
  <sheetViews>
    <sheetView workbookViewId="0">
      <pane ySplit="1" topLeftCell="A46" activePane="bottomLeft" state="frozen"/>
      <selection pane="bottomLeft" activeCell="N49" sqref="N49"/>
    </sheetView>
  </sheetViews>
  <sheetFormatPr defaultRowHeight="15"/>
  <cols>
    <col min="1" max="1" width="7.85546875" bestFit="1" customWidth="1"/>
    <col min="2" max="2" width="66.140625" customWidth="1"/>
    <col min="3" max="3" width="5.5703125" bestFit="1" customWidth="1"/>
    <col min="4" max="4" width="9" bestFit="1" customWidth="1"/>
    <col min="5" max="6" width="20" customWidth="1"/>
    <col min="7" max="7" width="18.42578125" customWidth="1"/>
    <col min="8" max="8" width="25.5703125" customWidth="1"/>
    <col min="9" max="9" width="10.7109375" customWidth="1"/>
  </cols>
  <sheetData>
    <row r="1" spans="1:16" ht="16.5">
      <c r="A1" s="86" t="s">
        <v>51</v>
      </c>
      <c r="B1" s="86"/>
      <c r="C1" s="86"/>
      <c r="D1" s="86"/>
      <c r="E1" s="86"/>
      <c r="F1" s="86"/>
      <c r="G1" s="86"/>
      <c r="H1" s="86"/>
      <c r="I1" s="86"/>
    </row>
    <row r="2" spans="1:16" ht="38.25">
      <c r="A2" s="16" t="s">
        <v>52</v>
      </c>
      <c r="B2" s="16" t="s">
        <v>53</v>
      </c>
      <c r="C2" s="16" t="s">
        <v>54</v>
      </c>
      <c r="D2" s="16" t="s">
        <v>55</v>
      </c>
      <c r="E2" s="16" t="s">
        <v>56</v>
      </c>
      <c r="F2" s="16" t="s">
        <v>57</v>
      </c>
      <c r="G2" s="16" t="s">
        <v>58</v>
      </c>
      <c r="H2" s="16" t="s">
        <v>59</v>
      </c>
      <c r="I2" s="16" t="s">
        <v>60</v>
      </c>
      <c r="J2" s="16" t="s">
        <v>61</v>
      </c>
      <c r="K2" s="16" t="s">
        <v>62</v>
      </c>
      <c r="L2" s="31"/>
      <c r="M2" s="31"/>
      <c r="N2" s="31"/>
      <c r="O2" s="31"/>
      <c r="P2" s="31"/>
    </row>
    <row r="3" spans="1:16">
      <c r="A3" s="17" t="s">
        <v>63</v>
      </c>
      <c r="B3" s="79" t="s">
        <v>64</v>
      </c>
      <c r="C3" s="80"/>
      <c r="D3" s="80"/>
      <c r="E3" s="80"/>
      <c r="F3" s="80"/>
      <c r="G3" s="80"/>
      <c r="H3" s="80"/>
      <c r="I3" s="80"/>
      <c r="J3" s="80"/>
      <c r="K3" s="80"/>
    </row>
    <row r="4" spans="1:16" hidden="1">
      <c r="A4" s="18">
        <v>3.1</v>
      </c>
      <c r="B4" s="54" t="s">
        <v>65</v>
      </c>
      <c r="C4" s="54"/>
      <c r="D4" s="54"/>
      <c r="E4" s="54"/>
      <c r="F4" s="21"/>
      <c r="G4" s="21" t="s">
        <v>66</v>
      </c>
      <c r="H4" s="33"/>
      <c r="I4" s="33"/>
    </row>
    <row r="5" spans="1:16" hidden="1">
      <c r="A5" s="35"/>
      <c r="B5" s="35" t="s">
        <v>67</v>
      </c>
      <c r="C5" s="36"/>
      <c r="D5" s="36"/>
      <c r="E5" s="36"/>
      <c r="F5" s="36"/>
      <c r="G5" s="36"/>
      <c r="H5" s="35"/>
      <c r="I5" s="35"/>
      <c r="J5" s="53"/>
      <c r="K5" s="53"/>
    </row>
    <row r="6" spans="1:16" ht="67.5" hidden="1">
      <c r="A6" s="52" t="s">
        <v>68</v>
      </c>
      <c r="B6" s="53" t="s">
        <v>69</v>
      </c>
      <c r="C6" s="52" t="s">
        <v>70</v>
      </c>
      <c r="D6" s="52" t="s">
        <v>71</v>
      </c>
      <c r="E6" s="52">
        <v>1</v>
      </c>
      <c r="F6" s="52" t="s">
        <v>72</v>
      </c>
      <c r="G6" s="52" t="s">
        <v>73</v>
      </c>
      <c r="H6" s="53" t="s">
        <v>74</v>
      </c>
      <c r="I6" s="53" t="s">
        <v>75</v>
      </c>
      <c r="J6" s="52"/>
      <c r="K6" s="53"/>
    </row>
    <row r="7" spans="1:16" ht="40.5" hidden="1">
      <c r="A7" s="52" t="s">
        <v>76</v>
      </c>
      <c r="B7" s="53" t="s">
        <v>77</v>
      </c>
      <c r="C7" s="52" t="s">
        <v>70</v>
      </c>
      <c r="D7" s="52" t="s">
        <v>71</v>
      </c>
      <c r="E7" s="52">
        <v>0.5</v>
      </c>
      <c r="F7" s="52" t="s">
        <v>78</v>
      </c>
      <c r="G7" s="52" t="s">
        <v>79</v>
      </c>
      <c r="H7" s="53" t="s">
        <v>80</v>
      </c>
      <c r="I7" s="53" t="s">
        <v>68</v>
      </c>
      <c r="J7" s="52"/>
      <c r="K7" s="53"/>
    </row>
    <row r="8" spans="1:16" ht="40.5" hidden="1">
      <c r="A8" s="52" t="s">
        <v>81</v>
      </c>
      <c r="B8" s="53" t="s">
        <v>82</v>
      </c>
      <c r="C8" s="52" t="s">
        <v>83</v>
      </c>
      <c r="D8" s="52" t="s">
        <v>84</v>
      </c>
      <c r="E8" s="52">
        <v>1</v>
      </c>
      <c r="F8" s="52" t="s">
        <v>78</v>
      </c>
      <c r="G8" s="52" t="s">
        <v>85</v>
      </c>
      <c r="H8" s="53" t="s">
        <v>86</v>
      </c>
      <c r="I8" s="53" t="s">
        <v>76</v>
      </c>
      <c r="J8" s="52"/>
      <c r="K8" s="53"/>
    </row>
    <row r="9" spans="1:16" ht="27" hidden="1">
      <c r="A9" s="52" t="s">
        <v>87</v>
      </c>
      <c r="B9" s="53" t="s">
        <v>88</v>
      </c>
      <c r="C9" s="52" t="s">
        <v>89</v>
      </c>
      <c r="D9" s="52" t="s">
        <v>90</v>
      </c>
      <c r="E9" s="52">
        <v>1</v>
      </c>
      <c r="F9" s="52" t="s">
        <v>78</v>
      </c>
      <c r="G9" s="52" t="s">
        <v>91</v>
      </c>
      <c r="H9" s="53" t="s">
        <v>92</v>
      </c>
      <c r="I9" s="53" t="s">
        <v>81</v>
      </c>
      <c r="J9" s="52"/>
      <c r="K9" s="53"/>
    </row>
    <row r="10" spans="1:16" ht="27" hidden="1">
      <c r="A10" s="52" t="s">
        <v>93</v>
      </c>
      <c r="B10" s="53" t="s">
        <v>94</v>
      </c>
      <c r="C10" s="52" t="s">
        <v>89</v>
      </c>
      <c r="D10" s="52" t="s">
        <v>90</v>
      </c>
      <c r="E10" s="52">
        <v>1</v>
      </c>
      <c r="F10" s="52" t="s">
        <v>95</v>
      </c>
      <c r="G10" s="52" t="s">
        <v>96</v>
      </c>
      <c r="H10" s="53" t="s">
        <v>97</v>
      </c>
      <c r="I10" s="53" t="s">
        <v>76</v>
      </c>
      <c r="J10" s="52"/>
      <c r="K10" s="53"/>
    </row>
    <row r="11" spans="1:16" ht="40.5" hidden="1">
      <c r="A11" s="52" t="s">
        <v>98</v>
      </c>
      <c r="B11" s="53" t="s">
        <v>99</v>
      </c>
      <c r="C11" s="52" t="s">
        <v>100</v>
      </c>
      <c r="D11" s="52" t="s">
        <v>101</v>
      </c>
      <c r="E11" s="52">
        <v>1</v>
      </c>
      <c r="F11" s="52" t="s">
        <v>95</v>
      </c>
      <c r="G11" s="52" t="s">
        <v>102</v>
      </c>
      <c r="H11" s="53" t="s">
        <v>103</v>
      </c>
      <c r="I11" s="53" t="s">
        <v>104</v>
      </c>
      <c r="J11" s="52"/>
      <c r="K11" s="53"/>
    </row>
    <row r="12" spans="1:16" ht="27" hidden="1">
      <c r="A12" s="52" t="s">
        <v>105</v>
      </c>
      <c r="B12" s="53" t="s">
        <v>106</v>
      </c>
      <c r="C12" s="52" t="s">
        <v>107</v>
      </c>
      <c r="D12" s="52" t="s">
        <v>108</v>
      </c>
      <c r="E12" s="52">
        <v>0.5</v>
      </c>
      <c r="F12" s="52" t="s">
        <v>95</v>
      </c>
      <c r="G12" s="52" t="s">
        <v>109</v>
      </c>
      <c r="H12" s="53" t="s">
        <v>110</v>
      </c>
      <c r="I12" s="53" t="s">
        <v>111</v>
      </c>
      <c r="J12" s="52"/>
      <c r="K12" s="53"/>
    </row>
    <row r="13" spans="1:16" ht="40.5" hidden="1">
      <c r="A13" s="52" t="s">
        <v>112</v>
      </c>
      <c r="B13" s="53" t="s">
        <v>113</v>
      </c>
      <c r="C13" s="52" t="s">
        <v>107</v>
      </c>
      <c r="D13" s="52" t="s">
        <v>108</v>
      </c>
      <c r="E13" s="52">
        <v>1</v>
      </c>
      <c r="F13" s="52" t="s">
        <v>95</v>
      </c>
      <c r="G13" s="52" t="s">
        <v>114</v>
      </c>
      <c r="H13" s="53" t="s">
        <v>115</v>
      </c>
      <c r="I13" s="53" t="s">
        <v>105</v>
      </c>
      <c r="J13" s="52"/>
      <c r="K13" s="53"/>
    </row>
    <row r="14" spans="1:16" ht="27" hidden="1">
      <c r="A14" s="52" t="s">
        <v>116</v>
      </c>
      <c r="B14" s="53" t="s">
        <v>117</v>
      </c>
      <c r="C14" s="52" t="s">
        <v>118</v>
      </c>
      <c r="D14" s="52" t="s">
        <v>119</v>
      </c>
      <c r="E14" s="52">
        <v>0.5</v>
      </c>
      <c r="F14" s="52" t="s">
        <v>95</v>
      </c>
      <c r="G14" s="52" t="s">
        <v>120</v>
      </c>
      <c r="H14" s="53" t="s">
        <v>121</v>
      </c>
      <c r="I14" s="53" t="s">
        <v>112</v>
      </c>
      <c r="J14" s="52"/>
      <c r="K14" s="53"/>
    </row>
    <row r="15" spans="1:16" ht="40.5" hidden="1">
      <c r="A15" s="52" t="s">
        <v>122</v>
      </c>
      <c r="B15" s="53" t="s">
        <v>123</v>
      </c>
      <c r="C15" s="52" t="s">
        <v>124</v>
      </c>
      <c r="D15" s="52" t="s">
        <v>125</v>
      </c>
      <c r="E15" s="52">
        <v>0.5</v>
      </c>
      <c r="F15" s="52" t="s">
        <v>95</v>
      </c>
      <c r="G15" s="52" t="s">
        <v>126</v>
      </c>
      <c r="H15" s="53" t="s">
        <v>127</v>
      </c>
      <c r="I15" s="53" t="s">
        <v>116</v>
      </c>
      <c r="J15" s="52"/>
      <c r="K15" s="53"/>
    </row>
    <row r="16" spans="1:16" ht="27" hidden="1">
      <c r="A16" s="52" t="s">
        <v>128</v>
      </c>
      <c r="B16" s="53" t="s">
        <v>129</v>
      </c>
      <c r="C16" s="52" t="s">
        <v>124</v>
      </c>
      <c r="D16" s="52" t="s">
        <v>125</v>
      </c>
      <c r="E16" s="52">
        <v>1</v>
      </c>
      <c r="F16" s="52" t="s">
        <v>130</v>
      </c>
      <c r="G16" s="52" t="s">
        <v>131</v>
      </c>
      <c r="H16" s="53" t="s">
        <v>132</v>
      </c>
      <c r="I16" s="53" t="s">
        <v>133</v>
      </c>
      <c r="J16" s="52"/>
      <c r="K16" s="53"/>
    </row>
    <row r="17" spans="1:11" ht="27" hidden="1">
      <c r="A17" s="52" t="s">
        <v>134</v>
      </c>
      <c r="B17" s="53" t="s">
        <v>135</v>
      </c>
      <c r="C17" s="52" t="s">
        <v>136</v>
      </c>
      <c r="D17" s="52" t="s">
        <v>137</v>
      </c>
      <c r="E17" s="52">
        <v>1</v>
      </c>
      <c r="F17" s="52" t="s">
        <v>138</v>
      </c>
      <c r="G17" s="52" t="s">
        <v>139</v>
      </c>
      <c r="H17" s="53" t="s">
        <v>140</v>
      </c>
      <c r="I17" s="53" t="s">
        <v>128</v>
      </c>
      <c r="J17" s="52"/>
      <c r="K17" s="53"/>
    </row>
    <row r="18" spans="1:11" hidden="1">
      <c r="A18" s="51"/>
      <c r="B18" s="51" t="s">
        <v>141</v>
      </c>
      <c r="C18" s="51"/>
      <c r="D18" s="51"/>
      <c r="E18" s="51"/>
      <c r="F18" s="51"/>
      <c r="G18" s="51"/>
      <c r="H18" s="51"/>
      <c r="I18" s="51"/>
      <c r="J18" s="51"/>
      <c r="K18" s="51"/>
    </row>
    <row r="19" spans="1:11" ht="40.5" hidden="1">
      <c r="A19" s="52" t="s">
        <v>142</v>
      </c>
      <c r="B19" s="53" t="s">
        <v>143</v>
      </c>
      <c r="C19" s="52" t="s">
        <v>144</v>
      </c>
      <c r="D19" s="52" t="s">
        <v>145</v>
      </c>
      <c r="E19" s="52">
        <v>2</v>
      </c>
      <c r="F19" s="52" t="s">
        <v>72</v>
      </c>
      <c r="G19" s="52"/>
      <c r="H19" s="53" t="s">
        <v>146</v>
      </c>
      <c r="I19" s="53" t="s">
        <v>147</v>
      </c>
      <c r="J19" s="52" t="s">
        <v>148</v>
      </c>
      <c r="K19" s="53"/>
    </row>
    <row r="20" spans="1:11" ht="27" hidden="1">
      <c r="A20" s="52" t="s">
        <v>149</v>
      </c>
      <c r="B20" s="53" t="s">
        <v>150</v>
      </c>
      <c r="C20" s="52" t="s">
        <v>144</v>
      </c>
      <c r="D20" s="52" t="s">
        <v>145</v>
      </c>
      <c r="E20" s="52">
        <v>1</v>
      </c>
      <c r="F20" s="52" t="s">
        <v>72</v>
      </c>
      <c r="G20" s="52"/>
      <c r="H20" s="53" t="s">
        <v>151</v>
      </c>
      <c r="I20" s="53" t="s">
        <v>142</v>
      </c>
      <c r="J20" s="52" t="s">
        <v>148</v>
      </c>
      <c r="K20" s="53"/>
    </row>
    <row r="21" spans="1:11" ht="27" hidden="1">
      <c r="A21" s="52" t="s">
        <v>152</v>
      </c>
      <c r="B21" s="53" t="s">
        <v>153</v>
      </c>
      <c r="C21" s="52" t="s">
        <v>154</v>
      </c>
      <c r="D21" s="52" t="s">
        <v>155</v>
      </c>
      <c r="E21" s="52">
        <v>0.5</v>
      </c>
      <c r="F21" s="52" t="s">
        <v>72</v>
      </c>
      <c r="G21" s="52"/>
      <c r="H21" s="53" t="s">
        <v>156</v>
      </c>
      <c r="I21" s="53" t="s">
        <v>149</v>
      </c>
      <c r="J21" s="52" t="s">
        <v>148</v>
      </c>
      <c r="K21" s="53"/>
    </row>
    <row r="22" spans="1:11" ht="27" hidden="1">
      <c r="A22" s="52" t="s">
        <v>157</v>
      </c>
      <c r="B22" s="53" t="s">
        <v>158</v>
      </c>
      <c r="C22" s="52" t="s">
        <v>159</v>
      </c>
      <c r="D22" s="52" t="s">
        <v>160</v>
      </c>
      <c r="E22" s="52">
        <v>1.5</v>
      </c>
      <c r="F22" s="52" t="s">
        <v>78</v>
      </c>
      <c r="G22" s="52"/>
      <c r="H22" s="53" t="s">
        <v>161</v>
      </c>
      <c r="I22" s="53" t="s">
        <v>152</v>
      </c>
      <c r="J22" s="52" t="s">
        <v>148</v>
      </c>
      <c r="K22" s="53"/>
    </row>
    <row r="23" spans="1:11" ht="27" hidden="1">
      <c r="A23" s="52" t="s">
        <v>162</v>
      </c>
      <c r="B23" s="53" t="s">
        <v>163</v>
      </c>
      <c r="C23" s="52" t="s">
        <v>164</v>
      </c>
      <c r="D23" s="52" t="s">
        <v>165</v>
      </c>
      <c r="E23" s="52">
        <v>1.5</v>
      </c>
      <c r="F23" s="52" t="s">
        <v>78</v>
      </c>
      <c r="G23" s="52"/>
      <c r="H23" s="53" t="s">
        <v>166</v>
      </c>
      <c r="I23" s="53" t="s">
        <v>152</v>
      </c>
      <c r="J23" s="52" t="s">
        <v>148</v>
      </c>
      <c r="K23" s="53"/>
    </row>
    <row r="24" spans="1:11" ht="27" hidden="1">
      <c r="A24" s="52" t="s">
        <v>167</v>
      </c>
      <c r="B24" s="53" t="s">
        <v>168</v>
      </c>
      <c r="C24" s="52" t="s">
        <v>169</v>
      </c>
      <c r="D24" s="52" t="s">
        <v>170</v>
      </c>
      <c r="E24" s="52">
        <v>1.5</v>
      </c>
      <c r="F24" s="52" t="s">
        <v>78</v>
      </c>
      <c r="G24" s="52"/>
      <c r="H24" s="53" t="s">
        <v>171</v>
      </c>
      <c r="I24" s="53" t="s">
        <v>152</v>
      </c>
      <c r="J24" s="52" t="s">
        <v>148</v>
      </c>
      <c r="K24" s="53"/>
    </row>
    <row r="25" spans="1:11" ht="40.5" hidden="1">
      <c r="A25" s="52" t="s">
        <v>172</v>
      </c>
      <c r="B25" s="53" t="s">
        <v>173</v>
      </c>
      <c r="C25" s="52" t="s">
        <v>169</v>
      </c>
      <c r="D25" s="52" t="s">
        <v>170</v>
      </c>
      <c r="E25" s="52">
        <v>1</v>
      </c>
      <c r="F25" s="52" t="s">
        <v>78</v>
      </c>
      <c r="G25" s="52"/>
      <c r="H25" s="53" t="s">
        <v>174</v>
      </c>
      <c r="I25" s="53" t="s">
        <v>175</v>
      </c>
      <c r="J25" s="52" t="s">
        <v>148</v>
      </c>
      <c r="K25" s="53"/>
    </row>
    <row r="26" spans="1:11" ht="27" hidden="1">
      <c r="A26" s="52" t="s">
        <v>176</v>
      </c>
      <c r="B26" s="53" t="s">
        <v>177</v>
      </c>
      <c r="C26" s="52" t="s">
        <v>178</v>
      </c>
      <c r="D26" s="52" t="s">
        <v>179</v>
      </c>
      <c r="E26" s="52">
        <v>2</v>
      </c>
      <c r="F26" s="52" t="s">
        <v>78</v>
      </c>
      <c r="G26" s="52"/>
      <c r="H26" s="53" t="s">
        <v>180</v>
      </c>
      <c r="I26" s="53" t="s">
        <v>172</v>
      </c>
      <c r="J26" s="52" t="s">
        <v>148</v>
      </c>
      <c r="K26" s="53"/>
    </row>
    <row r="27" spans="1:11" ht="40.5" hidden="1">
      <c r="A27" s="52" t="s">
        <v>181</v>
      </c>
      <c r="B27" s="53" t="s">
        <v>182</v>
      </c>
      <c r="C27" s="52" t="s">
        <v>183</v>
      </c>
      <c r="D27" s="52" t="s">
        <v>184</v>
      </c>
      <c r="E27" s="52">
        <v>1</v>
      </c>
      <c r="F27" s="52" t="s">
        <v>78</v>
      </c>
      <c r="G27" s="52"/>
      <c r="H27" s="53" t="s">
        <v>185</v>
      </c>
      <c r="I27" s="53" t="s">
        <v>176</v>
      </c>
      <c r="J27" s="52" t="s">
        <v>148</v>
      </c>
      <c r="K27" s="53"/>
    </row>
    <row r="28" spans="1:11" ht="27" hidden="1">
      <c r="A28" s="52" t="s">
        <v>186</v>
      </c>
      <c r="B28" s="53" t="s">
        <v>187</v>
      </c>
      <c r="C28" s="52" t="s">
        <v>188</v>
      </c>
      <c r="D28" s="52" t="s">
        <v>189</v>
      </c>
      <c r="E28" s="52">
        <v>1</v>
      </c>
      <c r="F28" s="52" t="s">
        <v>95</v>
      </c>
      <c r="G28" s="52"/>
      <c r="H28" s="53" t="s">
        <v>190</v>
      </c>
      <c r="I28" s="53" t="s">
        <v>181</v>
      </c>
      <c r="J28" s="52" t="s">
        <v>148</v>
      </c>
      <c r="K28" s="53"/>
    </row>
    <row r="29" spans="1:11" ht="27" hidden="1">
      <c r="A29" s="52" t="s">
        <v>191</v>
      </c>
      <c r="B29" s="53" t="s">
        <v>192</v>
      </c>
      <c r="C29" s="52" t="s">
        <v>188</v>
      </c>
      <c r="D29" s="52" t="s">
        <v>189</v>
      </c>
      <c r="E29" s="52">
        <v>1</v>
      </c>
      <c r="F29" s="52" t="s">
        <v>95</v>
      </c>
      <c r="G29" s="52"/>
      <c r="H29" s="53" t="s">
        <v>193</v>
      </c>
      <c r="I29" s="53" t="s">
        <v>186</v>
      </c>
      <c r="J29" s="52" t="s">
        <v>148</v>
      </c>
      <c r="K29" s="53"/>
    </row>
    <row r="30" spans="1:11" ht="40.5" hidden="1">
      <c r="A30" s="52" t="s">
        <v>194</v>
      </c>
      <c r="B30" s="53" t="s">
        <v>195</v>
      </c>
      <c r="C30" s="52" t="s">
        <v>196</v>
      </c>
      <c r="D30" s="52" t="s">
        <v>197</v>
      </c>
      <c r="E30" s="52">
        <v>0.5</v>
      </c>
      <c r="F30" s="52" t="s">
        <v>95</v>
      </c>
      <c r="G30" s="52"/>
      <c r="H30" s="53" t="s">
        <v>198</v>
      </c>
      <c r="I30" s="53" t="s">
        <v>191</v>
      </c>
      <c r="J30" s="52" t="s">
        <v>148</v>
      </c>
      <c r="K30" s="53"/>
    </row>
    <row r="31" spans="1:11" ht="27" hidden="1">
      <c r="A31" s="52" t="s">
        <v>199</v>
      </c>
      <c r="B31" s="53" t="s">
        <v>200</v>
      </c>
      <c r="C31" s="52" t="s">
        <v>201</v>
      </c>
      <c r="D31" s="52" t="s">
        <v>202</v>
      </c>
      <c r="E31" s="52">
        <v>1.5</v>
      </c>
      <c r="F31" s="52" t="s">
        <v>130</v>
      </c>
      <c r="G31" s="52"/>
      <c r="H31" s="53" t="s">
        <v>132</v>
      </c>
      <c r="I31" s="53" t="s">
        <v>203</v>
      </c>
      <c r="J31" s="52" t="s">
        <v>148</v>
      </c>
      <c r="K31" s="53"/>
    </row>
    <row r="32" spans="1:11" ht="40.5" hidden="1">
      <c r="A32" s="52" t="s">
        <v>204</v>
      </c>
      <c r="B32" s="53" t="s">
        <v>205</v>
      </c>
      <c r="C32" s="52" t="s">
        <v>206</v>
      </c>
      <c r="D32" s="52" t="s">
        <v>207</v>
      </c>
      <c r="E32" s="52">
        <v>1</v>
      </c>
      <c r="F32" s="52" t="s">
        <v>138</v>
      </c>
      <c r="G32" s="52"/>
      <c r="H32" s="53" t="s">
        <v>208</v>
      </c>
      <c r="I32" s="53" t="s">
        <v>199</v>
      </c>
      <c r="J32" s="52" t="s">
        <v>148</v>
      </c>
      <c r="K32" s="53"/>
    </row>
    <row r="33" spans="1:10" hidden="1">
      <c r="A33" s="18">
        <v>3.2</v>
      </c>
      <c r="B33" s="73" t="s">
        <v>209</v>
      </c>
      <c r="C33" s="73" t="s">
        <v>210</v>
      </c>
      <c r="D33" s="73"/>
      <c r="E33" s="73"/>
      <c r="F33" s="21"/>
      <c r="G33" s="21"/>
      <c r="H33" s="33" t="s">
        <v>211</v>
      </c>
      <c r="I33" s="33" t="s">
        <v>75</v>
      </c>
    </row>
    <row r="34" spans="1:10" ht="30" hidden="1">
      <c r="A34" s="32" t="s">
        <v>142</v>
      </c>
      <c r="B34" s="32" t="s">
        <v>212</v>
      </c>
      <c r="C34" s="32" t="s">
        <v>213</v>
      </c>
      <c r="D34" s="32">
        <v>3</v>
      </c>
      <c r="E34" s="32" t="s">
        <v>214</v>
      </c>
      <c r="F34" s="32"/>
      <c r="G34" s="32"/>
      <c r="H34" s="32" t="s">
        <v>215</v>
      </c>
      <c r="I34" s="32" t="s">
        <v>75</v>
      </c>
    </row>
    <row r="35" spans="1:10" ht="30" hidden="1">
      <c r="A35" s="32" t="s">
        <v>149</v>
      </c>
      <c r="B35" s="32" t="s">
        <v>216</v>
      </c>
      <c r="C35" s="32" t="s">
        <v>213</v>
      </c>
      <c r="D35" s="32">
        <v>3</v>
      </c>
      <c r="E35" s="32" t="s">
        <v>217</v>
      </c>
      <c r="F35" s="32"/>
      <c r="G35" s="32"/>
      <c r="H35" s="32" t="s">
        <v>218</v>
      </c>
      <c r="I35" s="32" t="s">
        <v>68</v>
      </c>
    </row>
    <row r="36" spans="1:10" ht="45" hidden="1">
      <c r="A36" s="32" t="s">
        <v>152</v>
      </c>
      <c r="B36" s="32" t="s">
        <v>219</v>
      </c>
      <c r="C36" s="32" t="s">
        <v>220</v>
      </c>
      <c r="D36" s="32">
        <v>4</v>
      </c>
      <c r="E36" s="32" t="s">
        <v>221</v>
      </c>
      <c r="F36" s="32"/>
      <c r="G36" s="32"/>
      <c r="H36" s="32" t="s">
        <v>222</v>
      </c>
      <c r="I36" s="32" t="s">
        <v>68</v>
      </c>
    </row>
    <row r="37" spans="1:10" ht="30" hidden="1">
      <c r="A37" s="32" t="s">
        <v>157</v>
      </c>
      <c r="B37" s="32" t="s">
        <v>223</v>
      </c>
      <c r="C37" s="32" t="s">
        <v>224</v>
      </c>
      <c r="D37" s="32">
        <v>3</v>
      </c>
      <c r="E37" s="32" t="s">
        <v>225</v>
      </c>
      <c r="F37" s="32"/>
      <c r="G37" s="32"/>
      <c r="H37" s="32" t="s">
        <v>226</v>
      </c>
      <c r="I37" s="32" t="s">
        <v>76</v>
      </c>
    </row>
    <row r="38" spans="1:10" ht="30" hidden="1">
      <c r="A38" s="32" t="s">
        <v>162</v>
      </c>
      <c r="B38" s="32" t="s">
        <v>227</v>
      </c>
      <c r="C38" s="32" t="s">
        <v>224</v>
      </c>
      <c r="D38" s="32">
        <v>4</v>
      </c>
      <c r="E38" s="32" t="s">
        <v>228</v>
      </c>
      <c r="F38" s="32"/>
      <c r="G38" s="32"/>
      <c r="H38" s="32" t="s">
        <v>229</v>
      </c>
      <c r="I38" s="32" t="s">
        <v>230</v>
      </c>
    </row>
    <row r="39" spans="1:10" ht="45" hidden="1">
      <c r="A39" s="32" t="s">
        <v>167</v>
      </c>
      <c r="B39" s="32" t="s">
        <v>231</v>
      </c>
      <c r="C39" s="32" t="s">
        <v>232</v>
      </c>
      <c r="D39" s="32">
        <v>3</v>
      </c>
      <c r="E39" s="32" t="s">
        <v>225</v>
      </c>
      <c r="F39" s="32"/>
      <c r="G39" s="32"/>
      <c r="H39" s="32" t="s">
        <v>233</v>
      </c>
      <c r="I39" s="32" t="s">
        <v>87</v>
      </c>
    </row>
    <row r="40" spans="1:10" ht="45" hidden="1">
      <c r="A40" s="32" t="s">
        <v>172</v>
      </c>
      <c r="B40" s="32" t="s">
        <v>234</v>
      </c>
      <c r="C40" s="32" t="s">
        <v>232</v>
      </c>
      <c r="D40" s="32">
        <v>3</v>
      </c>
      <c r="E40" s="32" t="s">
        <v>235</v>
      </c>
      <c r="F40" s="32"/>
      <c r="G40" s="32"/>
      <c r="H40" s="32" t="s">
        <v>236</v>
      </c>
      <c r="I40" s="32" t="s">
        <v>68</v>
      </c>
    </row>
    <row r="41" spans="1:10" ht="30" hidden="1">
      <c r="A41" s="32" t="s">
        <v>176</v>
      </c>
      <c r="B41" s="32" t="s">
        <v>237</v>
      </c>
      <c r="C41" s="32" t="s">
        <v>238</v>
      </c>
      <c r="D41" s="32">
        <v>3</v>
      </c>
      <c r="E41" s="32" t="s">
        <v>239</v>
      </c>
      <c r="F41" s="32"/>
      <c r="G41" s="32"/>
      <c r="H41" s="32" t="s">
        <v>240</v>
      </c>
      <c r="I41" s="32" t="s">
        <v>241</v>
      </c>
    </row>
    <row r="42" spans="1:10" ht="30" hidden="1">
      <c r="A42" s="32" t="s">
        <v>181</v>
      </c>
      <c r="B42" s="32" t="s">
        <v>242</v>
      </c>
      <c r="C42" s="32" t="s">
        <v>238</v>
      </c>
      <c r="D42" s="32">
        <v>3</v>
      </c>
      <c r="E42" s="32" t="s">
        <v>243</v>
      </c>
      <c r="F42" s="32"/>
      <c r="G42" s="32"/>
      <c r="H42" s="32" t="s">
        <v>244</v>
      </c>
      <c r="I42" s="32" t="s">
        <v>112</v>
      </c>
    </row>
    <row r="43" spans="1:10" ht="30" hidden="1">
      <c r="A43" s="32" t="s">
        <v>186</v>
      </c>
      <c r="B43" s="32" t="s">
        <v>245</v>
      </c>
      <c r="C43" s="32" t="s">
        <v>246</v>
      </c>
      <c r="D43" s="32">
        <v>2</v>
      </c>
      <c r="E43" s="32" t="s">
        <v>247</v>
      </c>
      <c r="F43" s="32"/>
      <c r="G43" s="32"/>
      <c r="H43" s="32" t="s">
        <v>248</v>
      </c>
      <c r="I43" s="32" t="s">
        <v>116</v>
      </c>
    </row>
    <row r="44" spans="1:10" ht="30" hidden="1">
      <c r="A44" s="32" t="s">
        <v>191</v>
      </c>
      <c r="B44" s="32" t="s">
        <v>249</v>
      </c>
      <c r="C44" s="32" t="s">
        <v>246</v>
      </c>
      <c r="D44" s="32">
        <v>2</v>
      </c>
      <c r="E44" s="32" t="s">
        <v>250</v>
      </c>
      <c r="F44" s="32"/>
      <c r="G44" s="32"/>
      <c r="H44" s="32" t="s">
        <v>251</v>
      </c>
      <c r="I44" s="32" t="s">
        <v>122</v>
      </c>
    </row>
    <row r="45" spans="1:10">
      <c r="A45" s="18">
        <v>3.3</v>
      </c>
      <c r="B45" s="73" t="s">
        <v>252</v>
      </c>
      <c r="C45" s="73"/>
      <c r="D45" s="73"/>
      <c r="E45" s="73"/>
      <c r="F45" s="21"/>
      <c r="G45" s="21" t="s">
        <v>253</v>
      </c>
      <c r="H45" s="33"/>
      <c r="I45" s="33"/>
    </row>
    <row r="46" spans="1:10" ht="38.25">
      <c r="A46" s="55" t="s">
        <v>254</v>
      </c>
      <c r="B46" s="59" t="s">
        <v>255</v>
      </c>
      <c r="C46" s="56" t="s">
        <v>256</v>
      </c>
      <c r="D46" s="56">
        <v>1</v>
      </c>
      <c r="E46" s="56" t="s">
        <v>257</v>
      </c>
      <c r="F46" s="57" t="s">
        <v>258</v>
      </c>
      <c r="G46" s="58" t="s">
        <v>259</v>
      </c>
      <c r="H46" s="59" t="s">
        <v>260</v>
      </c>
      <c r="I46" s="56" t="s">
        <v>75</v>
      </c>
      <c r="J46" s="52" t="s">
        <v>148</v>
      </c>
    </row>
    <row r="47" spans="1:10" ht="27">
      <c r="A47" s="60" t="s">
        <v>261</v>
      </c>
      <c r="B47" s="59" t="s">
        <v>262</v>
      </c>
      <c r="C47" s="56"/>
      <c r="D47" s="56"/>
      <c r="E47" s="56" t="s">
        <v>72</v>
      </c>
      <c r="F47" s="57" t="s">
        <v>263</v>
      </c>
      <c r="G47" s="58" t="s">
        <v>264</v>
      </c>
      <c r="H47" s="59" t="s">
        <v>265</v>
      </c>
      <c r="I47" s="56" t="s">
        <v>142</v>
      </c>
      <c r="J47" s="52" t="s">
        <v>148</v>
      </c>
    </row>
    <row r="48" spans="1:10" ht="27">
      <c r="A48" s="55" t="s">
        <v>266</v>
      </c>
      <c r="B48" s="59" t="s">
        <v>267</v>
      </c>
      <c r="C48" s="56" t="s">
        <v>256</v>
      </c>
      <c r="D48" s="56">
        <v>1</v>
      </c>
      <c r="E48" s="56" t="s">
        <v>257</v>
      </c>
      <c r="F48" s="57" t="s">
        <v>258</v>
      </c>
      <c r="G48" s="58" t="s">
        <v>268</v>
      </c>
      <c r="H48" s="59" t="s">
        <v>269</v>
      </c>
      <c r="I48" s="56" t="s">
        <v>142</v>
      </c>
      <c r="J48" s="52" t="s">
        <v>148</v>
      </c>
    </row>
    <row r="49" spans="1:10" ht="63.75">
      <c r="A49" s="55" t="s">
        <v>270</v>
      </c>
      <c r="B49" s="59" t="s">
        <v>271</v>
      </c>
      <c r="C49" s="56" t="s">
        <v>272</v>
      </c>
      <c r="D49" s="56">
        <v>2</v>
      </c>
      <c r="E49" s="56" t="s">
        <v>257</v>
      </c>
      <c r="F49" s="57" t="s">
        <v>258</v>
      </c>
      <c r="G49" s="58" t="s">
        <v>273</v>
      </c>
      <c r="H49" s="59" t="s">
        <v>274</v>
      </c>
      <c r="I49" s="56" t="s">
        <v>152</v>
      </c>
      <c r="J49" s="52" t="s">
        <v>148</v>
      </c>
    </row>
    <row r="50" spans="1:10" ht="51">
      <c r="A50" s="61" t="s">
        <v>275</v>
      </c>
      <c r="B50" s="59" t="s">
        <v>276</v>
      </c>
      <c r="C50" s="56" t="s">
        <v>272</v>
      </c>
      <c r="D50" s="56">
        <v>1</v>
      </c>
      <c r="E50" s="56" t="s">
        <v>95</v>
      </c>
      <c r="F50" s="57" t="s">
        <v>263</v>
      </c>
      <c r="G50" s="58" t="s">
        <v>277</v>
      </c>
      <c r="H50" s="59" t="s">
        <v>278</v>
      </c>
      <c r="I50" s="56" t="s">
        <v>270</v>
      </c>
      <c r="J50" s="52" t="s">
        <v>148</v>
      </c>
    </row>
    <row r="51" spans="1:10" ht="63.75">
      <c r="A51" s="62" t="s">
        <v>279</v>
      </c>
      <c r="B51" s="59" t="s">
        <v>280</v>
      </c>
      <c r="C51" s="56" t="s">
        <v>272</v>
      </c>
      <c r="D51" s="56">
        <v>0.5</v>
      </c>
      <c r="E51" s="56" t="s">
        <v>257</v>
      </c>
      <c r="F51" s="57" t="s">
        <v>258</v>
      </c>
      <c r="G51" s="58" t="s">
        <v>281</v>
      </c>
      <c r="H51" s="59" t="s">
        <v>282</v>
      </c>
      <c r="I51" s="56" t="s">
        <v>270</v>
      </c>
      <c r="J51" s="52" t="s">
        <v>148</v>
      </c>
    </row>
    <row r="52" spans="1:10" ht="27">
      <c r="A52" s="61" t="s">
        <v>283</v>
      </c>
      <c r="B52" s="59" t="s">
        <v>284</v>
      </c>
      <c r="C52" s="56" t="s">
        <v>272</v>
      </c>
      <c r="D52" s="56">
        <v>1</v>
      </c>
      <c r="E52" s="56" t="s">
        <v>95</v>
      </c>
      <c r="F52" s="57" t="s">
        <v>263</v>
      </c>
      <c r="G52" s="58" t="s">
        <v>285</v>
      </c>
      <c r="H52" s="59" t="s">
        <v>286</v>
      </c>
      <c r="I52" s="56"/>
      <c r="J52" s="52" t="s">
        <v>148</v>
      </c>
    </row>
    <row r="53" spans="1:10" ht="27">
      <c r="A53" s="55" t="s">
        <v>287</v>
      </c>
      <c r="B53" s="59" t="s">
        <v>288</v>
      </c>
      <c r="C53" s="56" t="s">
        <v>272</v>
      </c>
      <c r="D53" s="56">
        <v>1</v>
      </c>
      <c r="E53" s="56" t="s">
        <v>95</v>
      </c>
      <c r="F53" s="57" t="s">
        <v>263</v>
      </c>
      <c r="G53" s="58" t="s">
        <v>289</v>
      </c>
      <c r="H53" s="59" t="s">
        <v>290</v>
      </c>
      <c r="I53" s="56" t="s">
        <v>157</v>
      </c>
      <c r="J53" s="52" t="s">
        <v>148</v>
      </c>
    </row>
    <row r="54" spans="1:10" ht="27">
      <c r="A54" s="60" t="s">
        <v>291</v>
      </c>
      <c r="B54" s="59" t="s">
        <v>292</v>
      </c>
      <c r="C54" s="56" t="s">
        <v>293</v>
      </c>
      <c r="D54" s="56">
        <v>2</v>
      </c>
      <c r="E54" s="56" t="s">
        <v>257</v>
      </c>
      <c r="F54" s="57" t="s">
        <v>258</v>
      </c>
      <c r="G54" s="58" t="s">
        <v>264</v>
      </c>
      <c r="H54" s="59" t="s">
        <v>294</v>
      </c>
      <c r="I54" s="56" t="s">
        <v>295</v>
      </c>
      <c r="J54" s="52" t="s">
        <v>148</v>
      </c>
    </row>
    <row r="55" spans="1:10" ht="27">
      <c r="A55" s="60" t="s">
        <v>296</v>
      </c>
      <c r="B55" s="59" t="s">
        <v>297</v>
      </c>
      <c r="C55" s="56" t="s">
        <v>293</v>
      </c>
      <c r="D55" s="56">
        <v>1</v>
      </c>
      <c r="E55" s="56" t="s">
        <v>257</v>
      </c>
      <c r="F55" s="57" t="s">
        <v>258</v>
      </c>
      <c r="G55" s="58" t="s">
        <v>298</v>
      </c>
      <c r="H55" s="59" t="s">
        <v>299</v>
      </c>
      <c r="I55" s="56" t="s">
        <v>172</v>
      </c>
      <c r="J55" s="52" t="s">
        <v>148</v>
      </c>
    </row>
    <row r="56" spans="1:10" ht="27">
      <c r="A56" s="61" t="s">
        <v>300</v>
      </c>
      <c r="B56" s="59" t="s">
        <v>301</v>
      </c>
      <c r="C56" s="56" t="s">
        <v>293</v>
      </c>
      <c r="D56" s="56">
        <v>1</v>
      </c>
      <c r="E56" s="56" t="s">
        <v>257</v>
      </c>
      <c r="F56" s="57" t="s">
        <v>258</v>
      </c>
      <c r="G56" s="58" t="s">
        <v>302</v>
      </c>
      <c r="H56" s="59" t="s">
        <v>303</v>
      </c>
      <c r="I56" s="56" t="s">
        <v>254</v>
      </c>
      <c r="J56" s="52" t="s">
        <v>148</v>
      </c>
    </row>
    <row r="57" spans="1:10" ht="51">
      <c r="A57" s="55" t="s">
        <v>304</v>
      </c>
      <c r="B57" s="59" t="s">
        <v>305</v>
      </c>
      <c r="C57" s="56" t="s">
        <v>293</v>
      </c>
      <c r="D57" s="56">
        <v>2</v>
      </c>
      <c r="E57" s="56" t="s">
        <v>72</v>
      </c>
      <c r="F57" s="57" t="s">
        <v>263</v>
      </c>
      <c r="G57" s="34"/>
      <c r="H57" s="59" t="s">
        <v>306</v>
      </c>
      <c r="I57" s="56" t="s">
        <v>307</v>
      </c>
      <c r="J57" s="52" t="s">
        <v>148</v>
      </c>
    </row>
    <row r="58" spans="1:10">
      <c r="A58" s="18">
        <v>3.4</v>
      </c>
      <c r="B58" s="74" t="s">
        <v>308</v>
      </c>
      <c r="C58" s="75"/>
      <c r="D58" s="75"/>
      <c r="E58" s="76"/>
      <c r="F58" s="21"/>
      <c r="G58" s="21"/>
      <c r="H58" s="77" t="s">
        <v>309</v>
      </c>
      <c r="I58" s="78"/>
    </row>
    <row r="59" spans="1:10">
      <c r="A59" s="19" t="s">
        <v>310</v>
      </c>
      <c r="B59" s="20" t="s">
        <v>311</v>
      </c>
      <c r="C59" s="19" t="s">
        <v>312</v>
      </c>
      <c r="D59" s="19">
        <v>3</v>
      </c>
      <c r="E59" s="20" t="s">
        <v>72</v>
      </c>
      <c r="F59" s="20"/>
      <c r="G59" s="20"/>
      <c r="H59" s="20" t="s">
        <v>313</v>
      </c>
      <c r="I59" s="19" t="s">
        <v>75</v>
      </c>
    </row>
    <row r="60" spans="1:10">
      <c r="A60" s="19" t="s">
        <v>314</v>
      </c>
      <c r="B60" s="20" t="s">
        <v>315</v>
      </c>
      <c r="C60" s="19" t="s">
        <v>312</v>
      </c>
      <c r="D60" s="19">
        <v>2</v>
      </c>
      <c r="E60" s="20" t="s">
        <v>257</v>
      </c>
      <c r="F60" s="20"/>
      <c r="G60" s="20"/>
      <c r="H60" s="20" t="s">
        <v>316</v>
      </c>
      <c r="I60" s="19" t="s">
        <v>254</v>
      </c>
    </row>
    <row r="61" spans="1:10">
      <c r="A61" s="19" t="s">
        <v>317</v>
      </c>
      <c r="B61" s="20" t="s">
        <v>318</v>
      </c>
      <c r="C61" s="19" t="s">
        <v>319</v>
      </c>
      <c r="D61" s="19">
        <v>2</v>
      </c>
      <c r="E61" s="20" t="s">
        <v>320</v>
      </c>
      <c r="F61" s="20"/>
      <c r="G61" s="20"/>
      <c r="H61" s="20" t="s">
        <v>321</v>
      </c>
      <c r="I61" s="19" t="s">
        <v>261</v>
      </c>
    </row>
    <row r="62" spans="1:10">
      <c r="A62" s="19" t="s">
        <v>322</v>
      </c>
      <c r="B62" s="20" t="s">
        <v>323</v>
      </c>
      <c r="C62" s="19" t="s">
        <v>319</v>
      </c>
      <c r="D62" s="19">
        <v>3</v>
      </c>
      <c r="E62" s="20" t="s">
        <v>320</v>
      </c>
      <c r="F62" s="20"/>
      <c r="G62" s="20"/>
      <c r="H62" s="20" t="s">
        <v>324</v>
      </c>
      <c r="I62" s="19" t="s">
        <v>261</v>
      </c>
    </row>
    <row r="63" spans="1:10">
      <c r="A63" s="19" t="s">
        <v>325</v>
      </c>
      <c r="B63" s="20" t="s">
        <v>326</v>
      </c>
      <c r="C63" s="19" t="s">
        <v>327</v>
      </c>
      <c r="D63" s="19">
        <v>2</v>
      </c>
      <c r="E63" s="20" t="s">
        <v>320</v>
      </c>
      <c r="F63" s="20"/>
      <c r="G63" s="20"/>
      <c r="H63" s="20" t="s">
        <v>328</v>
      </c>
      <c r="I63" s="19" t="s">
        <v>266</v>
      </c>
    </row>
    <row r="64" spans="1:10" ht="25.5">
      <c r="A64" s="19" t="s">
        <v>329</v>
      </c>
      <c r="B64" s="20" t="s">
        <v>330</v>
      </c>
      <c r="C64" s="19" t="s">
        <v>327</v>
      </c>
      <c r="D64" s="19">
        <v>3</v>
      </c>
      <c r="E64" s="20" t="s">
        <v>257</v>
      </c>
      <c r="F64" s="20"/>
      <c r="G64" s="20"/>
      <c r="H64" s="20" t="s">
        <v>331</v>
      </c>
      <c r="I64" s="19" t="s">
        <v>332</v>
      </c>
    </row>
    <row r="65" spans="1:10">
      <c r="A65" s="19" t="s">
        <v>333</v>
      </c>
      <c r="B65" s="20" t="s">
        <v>334</v>
      </c>
      <c r="C65" s="19" t="s">
        <v>335</v>
      </c>
      <c r="D65" s="19">
        <v>2</v>
      </c>
      <c r="E65" s="20" t="s">
        <v>336</v>
      </c>
      <c r="F65" s="20"/>
      <c r="G65" s="20"/>
      <c r="H65" s="20" t="s">
        <v>337</v>
      </c>
      <c r="I65" s="19" t="s">
        <v>287</v>
      </c>
    </row>
    <row r="66" spans="1:10">
      <c r="A66" s="19" t="s">
        <v>338</v>
      </c>
      <c r="B66" s="20" t="s">
        <v>339</v>
      </c>
      <c r="C66" s="19" t="s">
        <v>335</v>
      </c>
      <c r="D66" s="19">
        <v>2</v>
      </c>
      <c r="E66" s="20" t="s">
        <v>130</v>
      </c>
      <c r="F66" s="20"/>
      <c r="G66" s="20"/>
      <c r="H66" s="20" t="s">
        <v>340</v>
      </c>
      <c r="I66" s="19" t="s">
        <v>291</v>
      </c>
    </row>
    <row r="67" spans="1:10">
      <c r="A67" s="19" t="s">
        <v>341</v>
      </c>
      <c r="B67" s="20" t="s">
        <v>342</v>
      </c>
      <c r="C67" s="19" t="s">
        <v>335</v>
      </c>
      <c r="D67" s="19">
        <v>1</v>
      </c>
      <c r="E67" s="20" t="s">
        <v>343</v>
      </c>
      <c r="F67" s="20"/>
      <c r="G67" s="20"/>
      <c r="H67" s="20" t="s">
        <v>344</v>
      </c>
      <c r="I67" s="19" t="s">
        <v>296</v>
      </c>
    </row>
    <row r="68" spans="1:10">
      <c r="A68" s="18">
        <v>3.5</v>
      </c>
      <c r="B68" s="73" t="s">
        <v>345</v>
      </c>
      <c r="C68" s="73"/>
      <c r="D68" s="73"/>
      <c r="E68" s="73"/>
      <c r="F68" s="21"/>
      <c r="G68" s="21"/>
      <c r="H68" s="81" t="s">
        <v>346</v>
      </c>
      <c r="I68" s="81"/>
    </row>
    <row r="69" spans="1:10" ht="25.5">
      <c r="A69" s="50" t="s">
        <v>347</v>
      </c>
      <c r="B69" s="64" t="s">
        <v>348</v>
      </c>
      <c r="C69" s="50" t="s">
        <v>70</v>
      </c>
      <c r="D69" s="50">
        <v>2</v>
      </c>
      <c r="E69" s="64" t="s">
        <v>349</v>
      </c>
      <c r="F69" s="64"/>
      <c r="G69" s="64"/>
      <c r="H69" s="64" t="s">
        <v>350</v>
      </c>
      <c r="I69" s="64" t="s">
        <v>351</v>
      </c>
      <c r="J69" s="50" t="s">
        <v>352</v>
      </c>
    </row>
    <row r="70" spans="1:10" ht="25.5">
      <c r="A70" s="50" t="s">
        <v>353</v>
      </c>
      <c r="B70" s="64" t="s">
        <v>354</v>
      </c>
      <c r="C70" s="50" t="s">
        <v>70</v>
      </c>
      <c r="D70" s="50">
        <v>3</v>
      </c>
      <c r="E70" s="64" t="s">
        <v>355</v>
      </c>
      <c r="F70" s="64"/>
      <c r="G70" s="64"/>
      <c r="H70" s="64" t="s">
        <v>356</v>
      </c>
      <c r="I70" s="64" t="s">
        <v>357</v>
      </c>
      <c r="J70" s="50" t="s">
        <v>352</v>
      </c>
    </row>
    <row r="71" spans="1:10" ht="25.5">
      <c r="A71" s="50" t="s">
        <v>358</v>
      </c>
      <c r="B71" s="64" t="s">
        <v>359</v>
      </c>
      <c r="C71" s="50" t="s">
        <v>89</v>
      </c>
      <c r="D71" s="50">
        <v>4</v>
      </c>
      <c r="E71" s="64" t="s">
        <v>349</v>
      </c>
      <c r="F71" s="64"/>
      <c r="G71" s="64"/>
      <c r="H71" s="64" t="s">
        <v>360</v>
      </c>
      <c r="I71" s="64" t="s">
        <v>361</v>
      </c>
      <c r="J71" s="50" t="s">
        <v>352</v>
      </c>
    </row>
    <row r="72" spans="1:10" ht="25.5">
      <c r="A72" s="50" t="s">
        <v>362</v>
      </c>
      <c r="B72" s="64" t="s">
        <v>363</v>
      </c>
      <c r="C72" s="50" t="s">
        <v>89</v>
      </c>
      <c r="D72" s="50">
        <v>2</v>
      </c>
      <c r="E72" s="64" t="s">
        <v>364</v>
      </c>
      <c r="F72" s="64"/>
      <c r="G72" s="64"/>
      <c r="H72" s="64" t="s">
        <v>365</v>
      </c>
      <c r="I72" s="64" t="s">
        <v>361</v>
      </c>
      <c r="J72" s="50" t="s">
        <v>352</v>
      </c>
    </row>
    <row r="73" spans="1:10" ht="25.5">
      <c r="A73" s="50" t="s">
        <v>366</v>
      </c>
      <c r="B73" s="64" t="s">
        <v>367</v>
      </c>
      <c r="C73" s="50" t="s">
        <v>107</v>
      </c>
      <c r="D73" s="50">
        <v>3</v>
      </c>
      <c r="E73" s="64" t="s">
        <v>368</v>
      </c>
      <c r="F73" s="64"/>
      <c r="G73" s="64"/>
      <c r="H73" s="64" t="s">
        <v>369</v>
      </c>
      <c r="I73" s="64" t="s">
        <v>361</v>
      </c>
      <c r="J73" s="50" t="s">
        <v>352</v>
      </c>
    </row>
    <row r="74" spans="1:10" ht="25.5">
      <c r="A74" s="50" t="s">
        <v>370</v>
      </c>
      <c r="B74" s="64" t="s">
        <v>371</v>
      </c>
      <c r="C74" s="50" t="s">
        <v>372</v>
      </c>
      <c r="D74" s="50">
        <v>5</v>
      </c>
      <c r="E74" s="64" t="s">
        <v>373</v>
      </c>
      <c r="F74" s="64"/>
      <c r="G74" s="64"/>
      <c r="H74" s="64" t="s">
        <v>374</v>
      </c>
      <c r="I74" s="64" t="s">
        <v>375</v>
      </c>
      <c r="J74" s="50" t="s">
        <v>352</v>
      </c>
    </row>
    <row r="75" spans="1:10" ht="25.5">
      <c r="A75" s="50" t="s">
        <v>376</v>
      </c>
      <c r="B75" s="64" t="s">
        <v>377</v>
      </c>
      <c r="C75" s="50" t="s">
        <v>124</v>
      </c>
      <c r="D75" s="50">
        <v>3</v>
      </c>
      <c r="E75" s="64" t="s">
        <v>378</v>
      </c>
      <c r="F75" s="64"/>
      <c r="G75" s="64"/>
      <c r="H75" s="64" t="s">
        <v>379</v>
      </c>
      <c r="I75" s="64" t="s">
        <v>361</v>
      </c>
      <c r="J75" s="50" t="s">
        <v>352</v>
      </c>
    </row>
    <row r="76" spans="1:10" ht="25.5">
      <c r="A76" s="50" t="s">
        <v>380</v>
      </c>
      <c r="B76" s="64" t="s">
        <v>381</v>
      </c>
      <c r="C76" s="50" t="s">
        <v>382</v>
      </c>
      <c r="D76" s="50">
        <v>5</v>
      </c>
      <c r="E76" s="64" t="s">
        <v>378</v>
      </c>
      <c r="F76" s="64"/>
      <c r="G76" s="64"/>
      <c r="H76" s="64" t="s">
        <v>383</v>
      </c>
      <c r="I76" s="64" t="s">
        <v>384</v>
      </c>
      <c r="J76" s="50" t="s">
        <v>352</v>
      </c>
    </row>
    <row r="77" spans="1:10" ht="25.5">
      <c r="A77" s="50" t="s">
        <v>385</v>
      </c>
      <c r="B77" s="64" t="s">
        <v>386</v>
      </c>
      <c r="C77" s="50" t="s">
        <v>387</v>
      </c>
      <c r="D77" s="50">
        <v>4</v>
      </c>
      <c r="E77" s="64" t="s">
        <v>388</v>
      </c>
      <c r="F77" s="64"/>
      <c r="G77" s="64"/>
      <c r="H77" s="64" t="s">
        <v>389</v>
      </c>
      <c r="I77" s="64" t="s">
        <v>390</v>
      </c>
      <c r="J77" s="50" t="s">
        <v>352</v>
      </c>
    </row>
    <row r="78" spans="1:10" ht="25.5">
      <c r="A78" s="50" t="s">
        <v>391</v>
      </c>
      <c r="B78" s="64" t="s">
        <v>392</v>
      </c>
      <c r="C78" s="50" t="s">
        <v>393</v>
      </c>
      <c r="D78" s="50">
        <v>3</v>
      </c>
      <c r="E78" s="64" t="s">
        <v>378</v>
      </c>
      <c r="F78" s="64"/>
      <c r="G78" s="64"/>
      <c r="H78" s="64" t="s">
        <v>394</v>
      </c>
      <c r="I78" s="64" t="s">
        <v>395</v>
      </c>
      <c r="J78" s="50" t="s">
        <v>352</v>
      </c>
    </row>
    <row r="79" spans="1:10" ht="25.5">
      <c r="A79" s="50" t="s">
        <v>396</v>
      </c>
      <c r="B79" s="64" t="s">
        <v>397</v>
      </c>
      <c r="C79" s="50" t="s">
        <v>398</v>
      </c>
      <c r="D79" s="50">
        <v>3</v>
      </c>
      <c r="E79" s="64" t="s">
        <v>399</v>
      </c>
      <c r="F79" s="64"/>
      <c r="G79" s="64"/>
      <c r="H79" s="64" t="s">
        <v>400</v>
      </c>
      <c r="I79" s="64" t="s">
        <v>401</v>
      </c>
      <c r="J79" s="50" t="s">
        <v>352</v>
      </c>
    </row>
    <row r="80" spans="1:10" ht="25.5">
      <c r="A80" s="50" t="s">
        <v>402</v>
      </c>
      <c r="B80" s="64" t="s">
        <v>403</v>
      </c>
      <c r="C80" s="50" t="s">
        <v>398</v>
      </c>
      <c r="D80" s="50">
        <v>2</v>
      </c>
      <c r="E80" s="64" t="s">
        <v>399</v>
      </c>
      <c r="F80" s="64"/>
      <c r="G80" s="64"/>
      <c r="H80" s="64" t="s">
        <v>404</v>
      </c>
      <c r="I80" s="64" t="s">
        <v>401</v>
      </c>
      <c r="J80" s="50" t="s">
        <v>352</v>
      </c>
    </row>
    <row r="81" spans="1:10" ht="25.5">
      <c r="A81" s="50" t="s">
        <v>405</v>
      </c>
      <c r="B81" s="64" t="s">
        <v>406</v>
      </c>
      <c r="C81" s="50" t="s">
        <v>407</v>
      </c>
      <c r="D81" s="50">
        <v>3</v>
      </c>
      <c r="E81" s="64" t="s">
        <v>399</v>
      </c>
      <c r="F81" s="64"/>
      <c r="G81" s="64"/>
      <c r="H81" s="64" t="s">
        <v>408</v>
      </c>
      <c r="I81" s="64" t="s">
        <v>409</v>
      </c>
      <c r="J81" s="50" t="s">
        <v>352</v>
      </c>
    </row>
    <row r="82" spans="1:10" ht="25.5">
      <c r="A82" s="50" t="s">
        <v>410</v>
      </c>
      <c r="B82" s="64" t="s">
        <v>411</v>
      </c>
      <c r="C82" s="50" t="s">
        <v>144</v>
      </c>
      <c r="D82" s="50">
        <v>1</v>
      </c>
      <c r="E82" s="64" t="s">
        <v>412</v>
      </c>
      <c r="F82" s="64"/>
      <c r="G82" s="64"/>
      <c r="H82" s="64" t="s">
        <v>413</v>
      </c>
      <c r="I82" s="64" t="s">
        <v>414</v>
      </c>
      <c r="J82" s="50" t="s">
        <v>352</v>
      </c>
    </row>
    <row r="83" spans="1:10" ht="25.5">
      <c r="A83" s="50" t="s">
        <v>415</v>
      </c>
      <c r="B83" s="64" t="s">
        <v>416</v>
      </c>
      <c r="C83" s="50" t="s">
        <v>417</v>
      </c>
      <c r="D83" s="50">
        <v>6</v>
      </c>
      <c r="E83" s="64" t="s">
        <v>418</v>
      </c>
      <c r="F83" s="64"/>
      <c r="G83" s="64"/>
      <c r="H83" s="64" t="s">
        <v>419</v>
      </c>
      <c r="I83" s="64" t="s">
        <v>420</v>
      </c>
      <c r="J83" s="50" t="s">
        <v>352</v>
      </c>
    </row>
    <row r="84" spans="1:10" ht="25.5">
      <c r="A84" s="50" t="s">
        <v>421</v>
      </c>
      <c r="B84" s="64" t="s">
        <v>422</v>
      </c>
      <c r="C84" s="50" t="s">
        <v>159</v>
      </c>
      <c r="D84" s="50">
        <v>4</v>
      </c>
      <c r="E84" s="64" t="s">
        <v>378</v>
      </c>
      <c r="F84" s="64"/>
      <c r="G84" s="64"/>
      <c r="H84" s="64" t="s">
        <v>423</v>
      </c>
      <c r="I84" s="64" t="s">
        <v>424</v>
      </c>
      <c r="J84" s="50" t="s">
        <v>352</v>
      </c>
    </row>
    <row r="85" spans="1:10" ht="25.5">
      <c r="A85" s="50" t="s">
        <v>425</v>
      </c>
      <c r="B85" s="64" t="s">
        <v>426</v>
      </c>
      <c r="C85" s="50" t="s">
        <v>427</v>
      </c>
      <c r="D85" s="50">
        <v>5</v>
      </c>
      <c r="E85" s="64" t="s">
        <v>388</v>
      </c>
      <c r="F85" s="64"/>
      <c r="G85" s="64"/>
      <c r="H85" s="64" t="s">
        <v>428</v>
      </c>
      <c r="I85" s="64" t="s">
        <v>429</v>
      </c>
      <c r="J85" s="50" t="s">
        <v>352</v>
      </c>
    </row>
    <row r="86" spans="1:10" ht="25.5">
      <c r="A86" s="50" t="s">
        <v>430</v>
      </c>
      <c r="B86" s="64" t="s">
        <v>431</v>
      </c>
      <c r="C86" s="50" t="s">
        <v>169</v>
      </c>
      <c r="D86" s="50">
        <v>3</v>
      </c>
      <c r="E86" s="64" t="s">
        <v>378</v>
      </c>
      <c r="F86" s="64"/>
      <c r="G86" s="64"/>
      <c r="H86" s="64" t="s">
        <v>432</v>
      </c>
      <c r="I86" s="64" t="s">
        <v>433</v>
      </c>
      <c r="J86" s="50" t="s">
        <v>352</v>
      </c>
    </row>
    <row r="87" spans="1:10" ht="25.5">
      <c r="A87" s="50" t="s">
        <v>434</v>
      </c>
      <c r="B87" s="64" t="s">
        <v>435</v>
      </c>
      <c r="C87" s="50" t="s">
        <v>169</v>
      </c>
      <c r="D87" s="50">
        <v>2</v>
      </c>
      <c r="E87" s="64" t="s">
        <v>436</v>
      </c>
      <c r="F87" s="64"/>
      <c r="G87" s="64"/>
      <c r="H87" s="64" t="s">
        <v>437</v>
      </c>
      <c r="I87" s="64" t="s">
        <v>429</v>
      </c>
      <c r="J87" s="50" t="s">
        <v>352</v>
      </c>
    </row>
    <row r="88" spans="1:10" ht="25.5">
      <c r="A88" s="50" t="s">
        <v>438</v>
      </c>
      <c r="B88" s="64" t="s">
        <v>439</v>
      </c>
      <c r="C88" s="50" t="s">
        <v>178</v>
      </c>
      <c r="D88" s="50">
        <v>4</v>
      </c>
      <c r="E88" s="64" t="s">
        <v>440</v>
      </c>
      <c r="F88" s="64"/>
      <c r="G88" s="64"/>
      <c r="H88" s="64" t="s">
        <v>441</v>
      </c>
      <c r="I88" s="64" t="s">
        <v>442</v>
      </c>
      <c r="J88" s="50" t="s">
        <v>352</v>
      </c>
    </row>
    <row r="89" spans="1:10" ht="25.5">
      <c r="A89" s="50" t="s">
        <v>443</v>
      </c>
      <c r="B89" s="64" t="s">
        <v>444</v>
      </c>
      <c r="C89" s="50" t="s">
        <v>178</v>
      </c>
      <c r="D89" s="50">
        <v>1</v>
      </c>
      <c r="E89" s="64" t="s">
        <v>412</v>
      </c>
      <c r="F89" s="64"/>
      <c r="G89" s="64"/>
      <c r="H89" s="64" t="s">
        <v>445</v>
      </c>
      <c r="I89" s="64" t="s">
        <v>446</v>
      </c>
      <c r="J89" s="50" t="s">
        <v>352</v>
      </c>
    </row>
    <row r="90" spans="1:10" ht="25.5">
      <c r="A90" s="50" t="s">
        <v>447</v>
      </c>
      <c r="B90" s="64" t="s">
        <v>448</v>
      </c>
      <c r="C90" s="50" t="s">
        <v>449</v>
      </c>
      <c r="D90" s="50">
        <v>8</v>
      </c>
      <c r="E90" s="64" t="s">
        <v>450</v>
      </c>
      <c r="F90" s="64"/>
      <c r="G90" s="64"/>
      <c r="H90" s="64" t="s">
        <v>451</v>
      </c>
      <c r="I90" s="64" t="s">
        <v>452</v>
      </c>
      <c r="J90" s="50" t="s">
        <v>352</v>
      </c>
    </row>
    <row r="91" spans="1:10" ht="25.5">
      <c r="A91" s="50" t="s">
        <v>453</v>
      </c>
      <c r="B91" s="64" t="s">
        <v>454</v>
      </c>
      <c r="C91" s="50" t="s">
        <v>455</v>
      </c>
      <c r="D91" s="50">
        <v>4</v>
      </c>
      <c r="E91" s="64" t="s">
        <v>456</v>
      </c>
      <c r="F91" s="64"/>
      <c r="G91" s="64"/>
      <c r="H91" s="64" t="s">
        <v>457</v>
      </c>
      <c r="I91" s="64" t="s">
        <v>458</v>
      </c>
      <c r="J91" s="50" t="s">
        <v>352</v>
      </c>
    </row>
    <row r="92" spans="1:10" ht="25.5">
      <c r="A92" s="50" t="s">
        <v>459</v>
      </c>
      <c r="B92" s="64" t="s">
        <v>460</v>
      </c>
      <c r="C92" s="50" t="s">
        <v>461</v>
      </c>
      <c r="D92" s="50">
        <v>2</v>
      </c>
      <c r="E92" s="64" t="s">
        <v>462</v>
      </c>
      <c r="F92" s="64"/>
      <c r="G92" s="64"/>
      <c r="H92" s="64" t="s">
        <v>463</v>
      </c>
      <c r="I92" s="64" t="s">
        <v>464</v>
      </c>
      <c r="J92" s="50" t="s">
        <v>352</v>
      </c>
    </row>
    <row r="93" spans="1:10" ht="25.5">
      <c r="A93" s="50" t="s">
        <v>465</v>
      </c>
      <c r="B93" s="64" t="s">
        <v>466</v>
      </c>
      <c r="C93" s="50" t="s">
        <v>467</v>
      </c>
      <c r="D93" s="50">
        <v>3</v>
      </c>
      <c r="E93" s="64" t="s">
        <v>378</v>
      </c>
      <c r="F93" s="64"/>
      <c r="G93" s="64"/>
      <c r="H93" s="64" t="s">
        <v>468</v>
      </c>
      <c r="I93" s="64" t="s">
        <v>469</v>
      </c>
      <c r="J93" s="50" t="s">
        <v>352</v>
      </c>
    </row>
    <row r="94" spans="1:10" ht="25.5">
      <c r="A94" s="50" t="s">
        <v>470</v>
      </c>
      <c r="B94" s="64" t="s">
        <v>471</v>
      </c>
      <c r="C94" s="50" t="s">
        <v>472</v>
      </c>
      <c r="D94" s="50">
        <v>4</v>
      </c>
      <c r="E94" s="64" t="s">
        <v>473</v>
      </c>
      <c r="F94" s="64"/>
      <c r="G94" s="64"/>
      <c r="H94" s="64" t="s">
        <v>474</v>
      </c>
      <c r="I94" s="64" t="s">
        <v>475</v>
      </c>
      <c r="J94" s="50" t="s">
        <v>352</v>
      </c>
    </row>
    <row r="95" spans="1:10" ht="25.5">
      <c r="A95" s="50" t="s">
        <v>476</v>
      </c>
      <c r="B95" s="64" t="s">
        <v>477</v>
      </c>
      <c r="C95" s="50" t="s">
        <v>478</v>
      </c>
      <c r="D95" s="50">
        <v>2</v>
      </c>
      <c r="E95" s="64" t="s">
        <v>412</v>
      </c>
      <c r="F95" s="64"/>
      <c r="G95" s="64"/>
      <c r="H95" s="64" t="s">
        <v>479</v>
      </c>
      <c r="I95" s="64" t="s">
        <v>480</v>
      </c>
      <c r="J95" s="50" t="s">
        <v>352</v>
      </c>
    </row>
    <row r="96" spans="1:10" ht="25.5">
      <c r="A96" s="50" t="s">
        <v>481</v>
      </c>
      <c r="B96" s="64" t="s">
        <v>482</v>
      </c>
      <c r="C96" s="50" t="s">
        <v>478</v>
      </c>
      <c r="D96" s="50">
        <v>2</v>
      </c>
      <c r="E96" s="64" t="s">
        <v>483</v>
      </c>
      <c r="F96" s="64"/>
      <c r="G96" s="64"/>
      <c r="H96" s="64" t="s">
        <v>484</v>
      </c>
      <c r="I96" s="64" t="s">
        <v>485</v>
      </c>
      <c r="J96" s="50" t="s">
        <v>352</v>
      </c>
    </row>
    <row r="97" spans="1:10" ht="25.5">
      <c r="A97" s="50" t="s">
        <v>486</v>
      </c>
      <c r="B97" s="64" t="s">
        <v>487</v>
      </c>
      <c r="C97" s="50" t="s">
        <v>488</v>
      </c>
      <c r="D97" s="50">
        <v>1</v>
      </c>
      <c r="E97" s="64" t="s">
        <v>462</v>
      </c>
      <c r="F97" s="64"/>
      <c r="G97" s="64"/>
      <c r="H97" s="64" t="s">
        <v>489</v>
      </c>
      <c r="I97" s="64" t="s">
        <v>490</v>
      </c>
      <c r="J97" s="50" t="s">
        <v>352</v>
      </c>
    </row>
    <row r="98" spans="1:10" ht="25.5">
      <c r="A98" s="50" t="s">
        <v>491</v>
      </c>
      <c r="B98" s="64" t="s">
        <v>492</v>
      </c>
      <c r="C98" s="50" t="s">
        <v>493</v>
      </c>
      <c r="D98" s="50">
        <v>6</v>
      </c>
      <c r="E98" s="64" t="s">
        <v>494</v>
      </c>
      <c r="F98" s="64"/>
      <c r="G98" s="64"/>
      <c r="H98" s="64" t="s">
        <v>495</v>
      </c>
      <c r="I98" s="64" t="s">
        <v>496</v>
      </c>
      <c r="J98" s="50" t="s">
        <v>352</v>
      </c>
    </row>
    <row r="99" spans="1:10">
      <c r="A99" s="17" t="s">
        <v>497</v>
      </c>
      <c r="B99" s="82" t="s">
        <v>498</v>
      </c>
      <c r="C99" s="82"/>
      <c r="D99" s="82"/>
      <c r="E99" s="82"/>
      <c r="F99" s="82"/>
      <c r="G99" s="82"/>
      <c r="H99" s="82"/>
      <c r="I99" s="82"/>
    </row>
    <row r="100" spans="1:10">
      <c r="A100" s="18" t="s">
        <v>499</v>
      </c>
      <c r="B100" s="73" t="s">
        <v>500</v>
      </c>
      <c r="C100" s="73"/>
      <c r="D100" s="73"/>
      <c r="E100" s="73"/>
      <c r="F100" s="21"/>
      <c r="G100" s="21"/>
      <c r="H100" s="81" t="s">
        <v>501</v>
      </c>
      <c r="I100" s="81"/>
    </row>
    <row r="101" spans="1:10">
      <c r="A101" s="19" t="s">
        <v>502</v>
      </c>
      <c r="B101" s="20" t="s">
        <v>503</v>
      </c>
      <c r="C101" s="19" t="s">
        <v>504</v>
      </c>
      <c r="D101" s="19">
        <v>3</v>
      </c>
      <c r="E101" s="20" t="s">
        <v>505</v>
      </c>
      <c r="F101" s="20"/>
      <c r="G101" s="20"/>
      <c r="H101" s="20" t="s">
        <v>506</v>
      </c>
      <c r="I101" s="19" t="s">
        <v>75</v>
      </c>
    </row>
    <row r="102" spans="1:10">
      <c r="A102" s="19" t="s">
        <v>507</v>
      </c>
      <c r="B102" s="20" t="s">
        <v>508</v>
      </c>
      <c r="C102" s="19" t="s">
        <v>504</v>
      </c>
      <c r="D102" s="19">
        <v>2</v>
      </c>
      <c r="E102" s="20" t="s">
        <v>505</v>
      </c>
      <c r="F102" s="20"/>
      <c r="G102" s="20"/>
      <c r="H102" s="20" t="s">
        <v>509</v>
      </c>
      <c r="I102" s="19" t="s">
        <v>502</v>
      </c>
    </row>
    <row r="103" spans="1:10">
      <c r="A103" s="19" t="s">
        <v>510</v>
      </c>
      <c r="B103" s="20" t="s">
        <v>511</v>
      </c>
      <c r="C103" s="19" t="s">
        <v>512</v>
      </c>
      <c r="D103" s="19">
        <v>3</v>
      </c>
      <c r="E103" s="20" t="s">
        <v>513</v>
      </c>
      <c r="F103" s="20"/>
      <c r="G103" s="20"/>
      <c r="H103" s="20" t="s">
        <v>514</v>
      </c>
      <c r="I103" s="19" t="s">
        <v>507</v>
      </c>
    </row>
    <row r="104" spans="1:10">
      <c r="A104" s="19" t="s">
        <v>515</v>
      </c>
      <c r="B104" s="20" t="s">
        <v>516</v>
      </c>
      <c r="C104" s="19" t="s">
        <v>512</v>
      </c>
      <c r="D104" s="19">
        <v>2</v>
      </c>
      <c r="E104" s="20" t="s">
        <v>513</v>
      </c>
      <c r="F104" s="20"/>
      <c r="G104" s="20"/>
      <c r="H104" s="20" t="s">
        <v>517</v>
      </c>
      <c r="I104" s="19" t="s">
        <v>510</v>
      </c>
    </row>
    <row r="105" spans="1:10">
      <c r="A105" s="19" t="s">
        <v>518</v>
      </c>
      <c r="B105" s="20" t="s">
        <v>519</v>
      </c>
      <c r="C105" s="19" t="s">
        <v>520</v>
      </c>
      <c r="D105" s="19">
        <v>3</v>
      </c>
      <c r="E105" s="20" t="s">
        <v>513</v>
      </c>
      <c r="F105" s="20"/>
      <c r="G105" s="20"/>
      <c r="H105" s="20" t="s">
        <v>521</v>
      </c>
      <c r="I105" s="19" t="s">
        <v>515</v>
      </c>
    </row>
    <row r="106" spans="1:10">
      <c r="A106" s="19" t="s">
        <v>522</v>
      </c>
      <c r="B106" s="20" t="s">
        <v>523</v>
      </c>
      <c r="C106" s="19" t="s">
        <v>520</v>
      </c>
      <c r="D106" s="19">
        <v>2</v>
      </c>
      <c r="E106" s="20" t="s">
        <v>513</v>
      </c>
      <c r="F106" s="20"/>
      <c r="G106" s="20"/>
      <c r="H106" s="20" t="s">
        <v>524</v>
      </c>
      <c r="I106" s="19" t="s">
        <v>518</v>
      </c>
    </row>
    <row r="107" spans="1:10">
      <c r="A107" s="19" t="s">
        <v>525</v>
      </c>
      <c r="B107" s="20" t="s">
        <v>526</v>
      </c>
      <c r="C107" s="19" t="s">
        <v>527</v>
      </c>
      <c r="D107" s="19">
        <v>3</v>
      </c>
      <c r="E107" s="20" t="s">
        <v>257</v>
      </c>
      <c r="F107" s="20"/>
      <c r="G107" s="20"/>
      <c r="H107" s="20" t="s">
        <v>528</v>
      </c>
      <c r="I107" s="19" t="s">
        <v>522</v>
      </c>
    </row>
    <row r="108" spans="1:10" ht="25.5">
      <c r="A108" s="19" t="s">
        <v>529</v>
      </c>
      <c r="B108" s="20" t="s">
        <v>530</v>
      </c>
      <c r="C108" s="19" t="s">
        <v>527</v>
      </c>
      <c r="D108" s="19">
        <v>2</v>
      </c>
      <c r="E108" s="20" t="s">
        <v>531</v>
      </c>
      <c r="F108" s="20"/>
      <c r="G108" s="20"/>
      <c r="H108" s="20" t="s">
        <v>532</v>
      </c>
      <c r="I108" s="19" t="s">
        <v>525</v>
      </c>
    </row>
    <row r="109" spans="1:10">
      <c r="A109" s="19" t="s">
        <v>533</v>
      </c>
      <c r="B109" s="20" t="s">
        <v>534</v>
      </c>
      <c r="C109" s="19" t="s">
        <v>535</v>
      </c>
      <c r="D109" s="19">
        <v>2</v>
      </c>
      <c r="E109" s="20" t="s">
        <v>343</v>
      </c>
      <c r="F109" s="20"/>
      <c r="G109" s="20"/>
      <c r="H109" s="20" t="s">
        <v>536</v>
      </c>
      <c r="I109" s="19" t="s">
        <v>529</v>
      </c>
    </row>
    <row r="110" spans="1:10">
      <c r="A110" s="19" t="s">
        <v>537</v>
      </c>
      <c r="B110" s="20" t="s">
        <v>538</v>
      </c>
      <c r="C110" s="19" t="s">
        <v>535</v>
      </c>
      <c r="D110" s="19">
        <v>3</v>
      </c>
      <c r="E110" s="20" t="s">
        <v>513</v>
      </c>
      <c r="F110" s="20"/>
      <c r="G110" s="20"/>
      <c r="H110" s="20" t="s">
        <v>539</v>
      </c>
      <c r="I110" s="19" t="s">
        <v>533</v>
      </c>
    </row>
    <row r="111" spans="1:10">
      <c r="A111" s="18" t="s">
        <v>429</v>
      </c>
      <c r="B111" s="73" t="s">
        <v>540</v>
      </c>
      <c r="C111" s="73"/>
      <c r="D111" s="73"/>
      <c r="E111" s="73"/>
      <c r="F111" s="21"/>
      <c r="G111" s="21"/>
      <c r="H111" s="81" t="s">
        <v>541</v>
      </c>
      <c r="I111" s="81"/>
    </row>
    <row r="112" spans="1:10">
      <c r="A112" s="19" t="s">
        <v>542</v>
      </c>
      <c r="B112" s="20" t="s">
        <v>543</v>
      </c>
      <c r="C112" s="19" t="s">
        <v>544</v>
      </c>
      <c r="D112" s="19">
        <v>2</v>
      </c>
      <c r="E112" s="20" t="s">
        <v>545</v>
      </c>
      <c r="F112" s="20"/>
      <c r="G112" s="20"/>
      <c r="H112" s="20" t="s">
        <v>546</v>
      </c>
      <c r="I112" s="19" t="s">
        <v>75</v>
      </c>
    </row>
    <row r="113" spans="1:9">
      <c r="A113" s="19" t="s">
        <v>547</v>
      </c>
      <c r="B113" s="20" t="s">
        <v>548</v>
      </c>
      <c r="C113" s="19" t="s">
        <v>544</v>
      </c>
      <c r="D113" s="19">
        <v>3</v>
      </c>
      <c r="E113" s="20" t="s">
        <v>513</v>
      </c>
      <c r="F113" s="20"/>
      <c r="G113" s="20"/>
      <c r="H113" s="20" t="s">
        <v>549</v>
      </c>
      <c r="I113" s="19" t="s">
        <v>542</v>
      </c>
    </row>
    <row r="114" spans="1:9">
      <c r="A114" s="19" t="s">
        <v>550</v>
      </c>
      <c r="B114" s="20" t="s">
        <v>551</v>
      </c>
      <c r="C114" s="19" t="s">
        <v>552</v>
      </c>
      <c r="D114" s="19">
        <v>2</v>
      </c>
      <c r="E114" s="20" t="s">
        <v>513</v>
      </c>
      <c r="F114" s="20"/>
      <c r="G114" s="20"/>
      <c r="H114" s="20" t="s">
        <v>553</v>
      </c>
      <c r="I114" s="19" t="s">
        <v>547</v>
      </c>
    </row>
    <row r="115" spans="1:9">
      <c r="A115" s="19" t="s">
        <v>554</v>
      </c>
      <c r="B115" s="20" t="s">
        <v>555</v>
      </c>
      <c r="C115" s="19" t="s">
        <v>552</v>
      </c>
      <c r="D115" s="19">
        <v>2</v>
      </c>
      <c r="E115" s="20" t="s">
        <v>257</v>
      </c>
      <c r="F115" s="20"/>
      <c r="G115" s="20"/>
      <c r="H115" s="20" t="s">
        <v>556</v>
      </c>
      <c r="I115" s="19" t="s">
        <v>550</v>
      </c>
    </row>
    <row r="116" spans="1:9">
      <c r="A116" s="19" t="s">
        <v>557</v>
      </c>
      <c r="B116" s="20" t="s">
        <v>558</v>
      </c>
      <c r="C116" s="19" t="s">
        <v>559</v>
      </c>
      <c r="D116" s="19">
        <v>3</v>
      </c>
      <c r="E116" s="20" t="s">
        <v>513</v>
      </c>
      <c r="F116" s="20"/>
      <c r="G116" s="20"/>
      <c r="H116" s="20" t="s">
        <v>560</v>
      </c>
      <c r="I116" s="19" t="s">
        <v>561</v>
      </c>
    </row>
    <row r="117" spans="1:9">
      <c r="A117" s="19" t="s">
        <v>562</v>
      </c>
      <c r="B117" s="20" t="s">
        <v>563</v>
      </c>
      <c r="C117" s="19" t="s">
        <v>559</v>
      </c>
      <c r="D117" s="19">
        <v>2</v>
      </c>
      <c r="E117" s="20" t="s">
        <v>564</v>
      </c>
      <c r="F117" s="20"/>
      <c r="G117" s="20"/>
      <c r="H117" s="20" t="s">
        <v>565</v>
      </c>
      <c r="I117" s="19" t="s">
        <v>557</v>
      </c>
    </row>
    <row r="118" spans="1:9">
      <c r="A118" s="19" t="s">
        <v>566</v>
      </c>
      <c r="B118" s="20" t="s">
        <v>567</v>
      </c>
      <c r="C118" s="19" t="s">
        <v>568</v>
      </c>
      <c r="D118" s="19">
        <v>2</v>
      </c>
      <c r="E118" s="20" t="s">
        <v>569</v>
      </c>
      <c r="F118" s="20"/>
      <c r="G118" s="20"/>
      <c r="H118" s="20" t="s">
        <v>570</v>
      </c>
      <c r="I118" s="19" t="s">
        <v>571</v>
      </c>
    </row>
    <row r="119" spans="1:9">
      <c r="A119" s="19" t="s">
        <v>572</v>
      </c>
      <c r="B119" s="20" t="s">
        <v>573</v>
      </c>
      <c r="C119" s="19" t="s">
        <v>568</v>
      </c>
      <c r="D119" s="19">
        <v>3</v>
      </c>
      <c r="E119" s="20" t="s">
        <v>513</v>
      </c>
      <c r="F119" s="20"/>
      <c r="G119" s="20"/>
      <c r="H119" s="20" t="s">
        <v>574</v>
      </c>
      <c r="I119" s="19" t="s">
        <v>566</v>
      </c>
    </row>
    <row r="120" spans="1:9">
      <c r="A120" s="18" t="s">
        <v>433</v>
      </c>
      <c r="B120" s="73" t="s">
        <v>575</v>
      </c>
      <c r="C120" s="73"/>
      <c r="D120" s="73"/>
      <c r="E120" s="73"/>
      <c r="F120" s="21"/>
      <c r="G120" s="21"/>
      <c r="H120" s="81" t="s">
        <v>576</v>
      </c>
      <c r="I120" s="81"/>
    </row>
    <row r="121" spans="1:9">
      <c r="A121" s="19" t="s">
        <v>577</v>
      </c>
      <c r="B121" s="20" t="s">
        <v>578</v>
      </c>
      <c r="C121" s="19" t="s">
        <v>579</v>
      </c>
      <c r="D121" s="19">
        <v>1</v>
      </c>
      <c r="E121" s="20" t="s">
        <v>580</v>
      </c>
      <c r="F121" s="20"/>
      <c r="G121" s="20"/>
      <c r="H121" s="20" t="s">
        <v>581</v>
      </c>
      <c r="I121" s="19" t="s">
        <v>75</v>
      </c>
    </row>
    <row r="122" spans="1:9">
      <c r="A122" s="19" t="s">
        <v>582</v>
      </c>
      <c r="B122" s="20" t="s">
        <v>583</v>
      </c>
      <c r="C122" s="19" t="s">
        <v>579</v>
      </c>
      <c r="D122" s="19">
        <v>4</v>
      </c>
      <c r="E122" s="20" t="s">
        <v>513</v>
      </c>
      <c r="F122" s="20"/>
      <c r="G122" s="20"/>
      <c r="H122" s="20" t="s">
        <v>584</v>
      </c>
      <c r="I122" s="19" t="s">
        <v>577</v>
      </c>
    </row>
    <row r="123" spans="1:9">
      <c r="A123" s="19" t="s">
        <v>585</v>
      </c>
      <c r="B123" s="20" t="s">
        <v>586</v>
      </c>
      <c r="C123" s="19" t="s">
        <v>587</v>
      </c>
      <c r="D123" s="19">
        <v>3</v>
      </c>
      <c r="E123" s="20" t="s">
        <v>513</v>
      </c>
      <c r="F123" s="20"/>
      <c r="G123" s="20"/>
      <c r="H123" s="20" t="s">
        <v>588</v>
      </c>
      <c r="I123" s="19" t="s">
        <v>582</v>
      </c>
    </row>
    <row r="124" spans="1:9">
      <c r="A124" s="19" t="s">
        <v>589</v>
      </c>
      <c r="B124" s="20" t="s">
        <v>590</v>
      </c>
      <c r="C124" s="19" t="s">
        <v>587</v>
      </c>
      <c r="D124" s="19">
        <v>2</v>
      </c>
      <c r="E124" s="20" t="s">
        <v>513</v>
      </c>
      <c r="F124" s="20"/>
      <c r="G124" s="20"/>
      <c r="H124" s="20" t="s">
        <v>591</v>
      </c>
      <c r="I124" s="19" t="s">
        <v>585</v>
      </c>
    </row>
    <row r="125" spans="1:9">
      <c r="A125" s="19" t="s">
        <v>592</v>
      </c>
      <c r="B125" s="20" t="s">
        <v>593</v>
      </c>
      <c r="C125" s="19" t="s">
        <v>594</v>
      </c>
      <c r="D125" s="19">
        <v>3</v>
      </c>
      <c r="E125" s="20" t="s">
        <v>595</v>
      </c>
      <c r="F125" s="20"/>
      <c r="G125" s="20"/>
      <c r="H125" s="20" t="s">
        <v>596</v>
      </c>
      <c r="I125" s="19" t="s">
        <v>589</v>
      </c>
    </row>
    <row r="126" spans="1:9">
      <c r="A126" s="19" t="s">
        <v>597</v>
      </c>
      <c r="B126" s="20" t="s">
        <v>598</v>
      </c>
      <c r="C126" s="19" t="s">
        <v>594</v>
      </c>
      <c r="D126" s="19">
        <v>2</v>
      </c>
      <c r="E126" s="20" t="s">
        <v>599</v>
      </c>
      <c r="F126" s="20"/>
      <c r="G126" s="20"/>
      <c r="H126" s="20" t="s">
        <v>600</v>
      </c>
      <c r="I126" s="19" t="s">
        <v>592</v>
      </c>
    </row>
    <row r="127" spans="1:9">
      <c r="A127" s="19" t="s">
        <v>601</v>
      </c>
      <c r="B127" s="20" t="s">
        <v>602</v>
      </c>
      <c r="C127" s="19" t="s">
        <v>603</v>
      </c>
      <c r="D127" s="19">
        <v>2</v>
      </c>
      <c r="E127" s="20" t="s">
        <v>513</v>
      </c>
      <c r="F127" s="20"/>
      <c r="G127" s="20"/>
      <c r="H127" s="20" t="s">
        <v>604</v>
      </c>
      <c r="I127" s="19" t="s">
        <v>597</v>
      </c>
    </row>
    <row r="128" spans="1:9">
      <c r="A128" s="19" t="s">
        <v>605</v>
      </c>
      <c r="B128" s="20" t="s">
        <v>606</v>
      </c>
      <c r="C128" s="19" t="s">
        <v>603</v>
      </c>
      <c r="D128" s="19">
        <v>3</v>
      </c>
      <c r="E128" s="20" t="s">
        <v>607</v>
      </c>
      <c r="F128" s="20"/>
      <c r="G128" s="20"/>
      <c r="H128" s="20" t="s">
        <v>608</v>
      </c>
      <c r="I128" s="19" t="s">
        <v>601</v>
      </c>
    </row>
  </sheetData>
  <mergeCells count="15">
    <mergeCell ref="B68:E68"/>
    <mergeCell ref="H68:I68"/>
    <mergeCell ref="B120:E120"/>
    <mergeCell ref="H120:I120"/>
    <mergeCell ref="B99:I99"/>
    <mergeCell ref="B100:E100"/>
    <mergeCell ref="H100:I100"/>
    <mergeCell ref="B111:E111"/>
    <mergeCell ref="H111:I111"/>
    <mergeCell ref="A1:I1"/>
    <mergeCell ref="B45:E45"/>
    <mergeCell ref="B58:E58"/>
    <mergeCell ref="H58:I58"/>
    <mergeCell ref="B33:E33"/>
    <mergeCell ref="B3:K3"/>
  </mergeCells>
  <phoneticPr fontId="19" type="noConversion"/>
  <dataValidations count="1">
    <dataValidation type="list" allowBlank="1" showInputMessage="1" showErrorMessage="1" sqref="J6:J17 J19:J32 J46:J57" xr:uid="{B66A82F1-E7E8-47C4-8EBE-C2BF689882AE}">
      <formula1>"Not Started, On Going, Resolved, Verified, Failed, Close"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546D6-A046-4147-8DDA-4459B7D16911}">
  <dimension ref="A1:G15"/>
  <sheetViews>
    <sheetView workbookViewId="0">
      <selection activeCell="I8" sqref="I8"/>
    </sheetView>
  </sheetViews>
  <sheetFormatPr defaultRowHeight="15"/>
  <cols>
    <col min="1" max="1" width="23" customWidth="1"/>
    <col min="2" max="2" width="14.140625" customWidth="1"/>
    <col min="3" max="3" width="32" customWidth="1"/>
    <col min="4" max="4" width="56.140625" customWidth="1"/>
    <col min="5" max="5" width="20.28515625" customWidth="1"/>
    <col min="6" max="6" width="27.85546875" customWidth="1"/>
    <col min="7" max="7" width="36.28515625" customWidth="1"/>
  </cols>
  <sheetData>
    <row r="1" spans="1:7" ht="16.5">
      <c r="A1" s="86" t="s">
        <v>609</v>
      </c>
      <c r="B1" s="86"/>
      <c r="C1" s="86"/>
      <c r="D1" s="86"/>
      <c r="E1" s="86"/>
      <c r="F1" s="86"/>
      <c r="G1" s="86"/>
    </row>
    <row r="2" spans="1:7">
      <c r="A2" s="83" t="s">
        <v>610</v>
      </c>
      <c r="B2" s="83"/>
      <c r="C2" s="83"/>
      <c r="D2" s="83"/>
      <c r="E2" s="83"/>
      <c r="F2" s="83"/>
      <c r="G2" s="83"/>
    </row>
    <row r="4" spans="1:7">
      <c r="A4" s="22" t="s">
        <v>611</v>
      </c>
      <c r="B4" s="22" t="s">
        <v>612</v>
      </c>
      <c r="C4" s="22" t="s">
        <v>613</v>
      </c>
      <c r="D4" s="22" t="s">
        <v>614</v>
      </c>
      <c r="E4" s="22" t="s">
        <v>615</v>
      </c>
      <c r="F4" s="22" t="s">
        <v>616</v>
      </c>
      <c r="G4" s="22" t="s">
        <v>617</v>
      </c>
    </row>
    <row r="5" spans="1:7">
      <c r="A5" s="84" t="s">
        <v>64</v>
      </c>
      <c r="B5" s="84"/>
      <c r="C5" s="84"/>
      <c r="D5" s="84"/>
      <c r="E5" s="84"/>
      <c r="F5" s="84"/>
      <c r="G5" s="84"/>
    </row>
    <row r="6" spans="1:7" ht="38.25" customHeight="1">
      <c r="A6" s="37" t="s">
        <v>618</v>
      </c>
      <c r="B6" s="38" t="s">
        <v>619</v>
      </c>
      <c r="C6" s="37" t="s">
        <v>620</v>
      </c>
      <c r="D6" s="37" t="s">
        <v>621</v>
      </c>
      <c r="E6" s="37" t="s">
        <v>622</v>
      </c>
      <c r="F6" s="37" t="s">
        <v>623</v>
      </c>
      <c r="G6" s="37" t="s">
        <v>624</v>
      </c>
    </row>
    <row r="7" spans="1:7" ht="38.25" customHeight="1">
      <c r="A7" s="39" t="s">
        <v>625</v>
      </c>
      <c r="B7" s="40" t="s">
        <v>626</v>
      </c>
      <c r="C7" s="39" t="s">
        <v>627</v>
      </c>
      <c r="D7" s="39" t="s">
        <v>628</v>
      </c>
      <c r="E7" s="39" t="s">
        <v>629</v>
      </c>
      <c r="F7" s="39" t="s">
        <v>630</v>
      </c>
      <c r="G7" s="39" t="s">
        <v>631</v>
      </c>
    </row>
    <row r="8" spans="1:7" ht="25.5">
      <c r="A8" s="23" t="s">
        <v>632</v>
      </c>
      <c r="B8" s="24"/>
      <c r="C8" s="23"/>
      <c r="D8" s="23"/>
      <c r="E8" s="23"/>
      <c r="F8" s="23"/>
      <c r="G8" s="23"/>
    </row>
    <row r="9" spans="1:7" ht="76.5">
      <c r="A9" s="23" t="s">
        <v>633</v>
      </c>
      <c r="B9" s="24" t="s">
        <v>634</v>
      </c>
      <c r="C9" s="23" t="s">
        <v>635</v>
      </c>
      <c r="D9" s="23" t="s">
        <v>636</v>
      </c>
      <c r="E9" s="23" t="s">
        <v>637</v>
      </c>
      <c r="F9" s="23" t="s">
        <v>638</v>
      </c>
      <c r="G9" s="23" t="s">
        <v>639</v>
      </c>
    </row>
    <row r="10" spans="1:7" ht="102">
      <c r="A10" s="23" t="s">
        <v>640</v>
      </c>
      <c r="B10" s="24" t="s">
        <v>641</v>
      </c>
      <c r="C10" s="23" t="s">
        <v>642</v>
      </c>
      <c r="D10" s="23" t="s">
        <v>643</v>
      </c>
      <c r="E10" s="23" t="s">
        <v>644</v>
      </c>
      <c r="F10" s="23" t="s">
        <v>645</v>
      </c>
      <c r="G10" s="23" t="s">
        <v>646</v>
      </c>
    </row>
    <row r="11" spans="1:7" ht="51">
      <c r="A11" s="23" t="s">
        <v>647</v>
      </c>
      <c r="B11" s="24" t="s">
        <v>648</v>
      </c>
      <c r="C11" s="23" t="s">
        <v>649</v>
      </c>
      <c r="D11" s="23" t="s">
        <v>650</v>
      </c>
      <c r="E11" s="23" t="s">
        <v>651</v>
      </c>
      <c r="F11" s="23" t="s">
        <v>652</v>
      </c>
      <c r="G11" s="23" t="s">
        <v>653</v>
      </c>
    </row>
    <row r="12" spans="1:7">
      <c r="A12" s="84" t="s">
        <v>498</v>
      </c>
      <c r="B12" s="84"/>
      <c r="C12" s="84"/>
      <c r="D12" s="84"/>
      <c r="E12" s="84"/>
      <c r="F12" s="84"/>
      <c r="G12" s="84"/>
    </row>
    <row r="13" spans="1:7" ht="114.75">
      <c r="A13" s="23" t="s">
        <v>654</v>
      </c>
      <c r="B13" s="24" t="s">
        <v>655</v>
      </c>
      <c r="C13" s="23" t="s">
        <v>656</v>
      </c>
      <c r="D13" s="23" t="s">
        <v>657</v>
      </c>
      <c r="E13" s="23" t="s">
        <v>658</v>
      </c>
      <c r="F13" s="23" t="s">
        <v>659</v>
      </c>
      <c r="G13" s="23" t="s">
        <v>660</v>
      </c>
    </row>
    <row r="14" spans="1:7" ht="102">
      <c r="A14" s="23" t="s">
        <v>661</v>
      </c>
      <c r="B14" s="24" t="s">
        <v>662</v>
      </c>
      <c r="C14" s="23" t="s">
        <v>663</v>
      </c>
      <c r="D14" s="23" t="s">
        <v>664</v>
      </c>
      <c r="E14" s="23" t="s">
        <v>665</v>
      </c>
      <c r="F14" s="23" t="s">
        <v>666</v>
      </c>
      <c r="G14" s="23" t="s">
        <v>667</v>
      </c>
    </row>
    <row r="15" spans="1:7" ht="102">
      <c r="A15" s="23" t="s">
        <v>668</v>
      </c>
      <c r="B15" s="24" t="s">
        <v>669</v>
      </c>
      <c r="C15" s="23" t="s">
        <v>670</v>
      </c>
      <c r="D15" s="23" t="s">
        <v>671</v>
      </c>
      <c r="E15" s="23" t="s">
        <v>672</v>
      </c>
      <c r="F15" s="23" t="s">
        <v>673</v>
      </c>
      <c r="G15" s="23" t="s">
        <v>674</v>
      </c>
    </row>
  </sheetData>
  <mergeCells count="4">
    <mergeCell ref="A1:G1"/>
    <mergeCell ref="A2:G2"/>
    <mergeCell ref="A5:G5"/>
    <mergeCell ref="A12:G1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DE71A-3822-4984-9ADA-14DF27CC7C7E}">
  <dimension ref="A1:H59"/>
  <sheetViews>
    <sheetView topLeftCell="A2" workbookViewId="0">
      <selection activeCell="P20" sqref="P20"/>
    </sheetView>
  </sheetViews>
  <sheetFormatPr defaultRowHeight="15"/>
  <cols>
    <col min="2" max="2" width="11" customWidth="1"/>
    <col min="3" max="3" width="30.85546875" customWidth="1"/>
    <col min="4" max="4" width="11.28515625" customWidth="1"/>
    <col min="5" max="5" width="47.5703125" customWidth="1"/>
  </cols>
  <sheetData>
    <row r="1" spans="1:8" ht="16.5">
      <c r="A1" s="86" t="s">
        <v>675</v>
      </c>
      <c r="B1" s="86"/>
      <c r="C1" s="86"/>
      <c r="D1" s="86"/>
      <c r="E1" s="86"/>
      <c r="F1" s="86"/>
      <c r="G1" s="86"/>
      <c r="H1" s="86"/>
    </row>
    <row r="2" spans="1:8" ht="33" customHeight="1">
      <c r="A2" s="83" t="s">
        <v>676</v>
      </c>
      <c r="B2" s="83"/>
      <c r="C2" s="83"/>
      <c r="D2" s="83"/>
      <c r="E2" s="83"/>
      <c r="F2" s="83"/>
      <c r="G2" s="83"/>
      <c r="H2" s="83"/>
    </row>
    <row r="4" spans="1:8" ht="25.5">
      <c r="A4" s="16" t="s">
        <v>52</v>
      </c>
      <c r="B4" s="16" t="s">
        <v>677</v>
      </c>
      <c r="C4" s="16" t="s">
        <v>678</v>
      </c>
      <c r="D4" s="16" t="s">
        <v>679</v>
      </c>
      <c r="E4" s="16" t="s">
        <v>680</v>
      </c>
      <c r="F4" s="16" t="s">
        <v>681</v>
      </c>
      <c r="G4" s="16" t="s">
        <v>682</v>
      </c>
      <c r="H4" s="16" t="s">
        <v>683</v>
      </c>
    </row>
    <row r="5" spans="1:8">
      <c r="A5" s="17" t="s">
        <v>63</v>
      </c>
      <c r="B5" s="82" t="s">
        <v>64</v>
      </c>
      <c r="C5" s="82"/>
      <c r="D5" s="82"/>
      <c r="E5" s="82"/>
      <c r="F5" s="82"/>
      <c r="G5" s="82"/>
      <c r="H5" s="82"/>
    </row>
    <row r="6" spans="1:8">
      <c r="A6" s="85" t="s">
        <v>684</v>
      </c>
      <c r="B6" s="87"/>
      <c r="C6" s="87"/>
      <c r="D6" s="87"/>
      <c r="E6" s="87"/>
      <c r="F6" s="87"/>
      <c r="G6" s="87"/>
      <c r="H6" s="87"/>
    </row>
    <row r="7" spans="1:8" ht="51">
      <c r="A7" s="41" t="s">
        <v>685</v>
      </c>
      <c r="B7" s="41" t="s">
        <v>686</v>
      </c>
      <c r="C7" s="42" t="s">
        <v>687</v>
      </c>
      <c r="D7" s="43" t="s">
        <v>688</v>
      </c>
      <c r="E7" s="42" t="s">
        <v>689</v>
      </c>
      <c r="F7" s="44" t="s">
        <v>690</v>
      </c>
      <c r="G7" s="41" t="s">
        <v>691</v>
      </c>
      <c r="H7" s="42"/>
    </row>
    <row r="8" spans="1:8" ht="25.5">
      <c r="A8" s="41" t="s">
        <v>685</v>
      </c>
      <c r="B8" s="41" t="s">
        <v>692</v>
      </c>
      <c r="C8" s="42" t="s">
        <v>693</v>
      </c>
      <c r="D8" s="43" t="s">
        <v>688</v>
      </c>
      <c r="E8" s="42" t="s">
        <v>694</v>
      </c>
      <c r="F8" s="44" t="s">
        <v>690</v>
      </c>
      <c r="G8" s="41" t="s">
        <v>691</v>
      </c>
      <c r="H8" s="42"/>
    </row>
    <row r="9" spans="1:8" ht="38.25">
      <c r="A9" s="41" t="s">
        <v>685</v>
      </c>
      <c r="B9" s="41" t="s">
        <v>695</v>
      </c>
      <c r="C9" s="42" t="s">
        <v>696</v>
      </c>
      <c r="D9" s="43" t="s">
        <v>688</v>
      </c>
      <c r="E9" s="42" t="s">
        <v>697</v>
      </c>
      <c r="F9" s="44" t="s">
        <v>690</v>
      </c>
      <c r="G9" s="41" t="s">
        <v>691</v>
      </c>
      <c r="H9" s="42"/>
    </row>
    <row r="10" spans="1:8" ht="38.25">
      <c r="A10" s="41" t="s">
        <v>685</v>
      </c>
      <c r="B10" s="41" t="s">
        <v>698</v>
      </c>
      <c r="C10" s="42" t="s">
        <v>699</v>
      </c>
      <c r="D10" s="43" t="s">
        <v>688</v>
      </c>
      <c r="E10" s="42" t="s">
        <v>700</v>
      </c>
      <c r="F10" s="44" t="s">
        <v>690</v>
      </c>
      <c r="G10" s="41" t="s">
        <v>691</v>
      </c>
      <c r="H10" s="42"/>
    </row>
    <row r="11" spans="1:8" ht="38.25">
      <c r="A11" s="41" t="s">
        <v>685</v>
      </c>
      <c r="B11" s="41" t="s">
        <v>701</v>
      </c>
      <c r="C11" s="42" t="s">
        <v>702</v>
      </c>
      <c r="D11" s="43" t="s">
        <v>688</v>
      </c>
      <c r="E11" s="42" t="s">
        <v>703</v>
      </c>
      <c r="F11" s="44" t="s">
        <v>690</v>
      </c>
      <c r="G11" s="41" t="s">
        <v>691</v>
      </c>
      <c r="H11" s="42"/>
    </row>
    <row r="12" spans="1:8" ht="25.5">
      <c r="A12" s="41" t="s">
        <v>685</v>
      </c>
      <c r="B12" s="41" t="s">
        <v>704</v>
      </c>
      <c r="C12" s="42" t="s">
        <v>705</v>
      </c>
      <c r="D12" s="43" t="s">
        <v>688</v>
      </c>
      <c r="E12" s="42" t="s">
        <v>706</v>
      </c>
      <c r="F12" s="44" t="s">
        <v>690</v>
      </c>
      <c r="G12" s="41" t="s">
        <v>691</v>
      </c>
      <c r="H12" s="42"/>
    </row>
    <row r="13" spans="1:8" ht="51">
      <c r="A13" s="41" t="s">
        <v>685</v>
      </c>
      <c r="B13" s="41" t="s">
        <v>707</v>
      </c>
      <c r="C13" s="42" t="s">
        <v>708</v>
      </c>
      <c r="D13" s="43" t="s">
        <v>688</v>
      </c>
      <c r="E13" s="42" t="s">
        <v>709</v>
      </c>
      <c r="F13" s="44" t="s">
        <v>690</v>
      </c>
      <c r="G13" s="41" t="s">
        <v>691</v>
      </c>
      <c r="H13" s="42"/>
    </row>
    <row r="14" spans="1:8" ht="38.25">
      <c r="A14" s="41" t="s">
        <v>685</v>
      </c>
      <c r="B14" s="41" t="s">
        <v>710</v>
      </c>
      <c r="C14" s="42" t="s">
        <v>711</v>
      </c>
      <c r="D14" s="43" t="s">
        <v>688</v>
      </c>
      <c r="E14" s="42" t="s">
        <v>712</v>
      </c>
      <c r="F14" s="44" t="s">
        <v>690</v>
      </c>
      <c r="G14" s="41" t="s">
        <v>691</v>
      </c>
      <c r="H14" s="42"/>
    </row>
    <row r="15" spans="1:8" ht="51">
      <c r="A15" s="41" t="s">
        <v>685</v>
      </c>
      <c r="B15" s="41" t="s">
        <v>713</v>
      </c>
      <c r="C15" s="42" t="s">
        <v>714</v>
      </c>
      <c r="D15" s="45" t="s">
        <v>715</v>
      </c>
      <c r="E15" s="42" t="s">
        <v>716</v>
      </c>
      <c r="F15" s="44" t="s">
        <v>690</v>
      </c>
      <c r="G15" s="41" t="s">
        <v>691</v>
      </c>
      <c r="H15" s="42"/>
    </row>
    <row r="16" spans="1:8" ht="25.5">
      <c r="A16" s="41" t="s">
        <v>685</v>
      </c>
      <c r="B16" s="41" t="s">
        <v>717</v>
      </c>
      <c r="C16" s="42" t="s">
        <v>718</v>
      </c>
      <c r="D16" s="46" t="s">
        <v>719</v>
      </c>
      <c r="E16" s="42" t="s">
        <v>720</v>
      </c>
      <c r="F16" s="44" t="s">
        <v>690</v>
      </c>
      <c r="G16" s="41" t="s">
        <v>691</v>
      </c>
      <c r="H16" s="42"/>
    </row>
    <row r="17" spans="1:8" ht="38.25">
      <c r="A17" s="41" t="s">
        <v>685</v>
      </c>
      <c r="B17" s="41" t="s">
        <v>721</v>
      </c>
      <c r="C17" s="42" t="s">
        <v>722</v>
      </c>
      <c r="D17" s="47" t="s">
        <v>723</v>
      </c>
      <c r="E17" s="42" t="s">
        <v>724</v>
      </c>
      <c r="F17" s="44" t="s">
        <v>690</v>
      </c>
      <c r="G17" s="41" t="s">
        <v>691</v>
      </c>
      <c r="H17" s="42"/>
    </row>
    <row r="18" spans="1:8" ht="38.25">
      <c r="A18" s="41" t="s">
        <v>685</v>
      </c>
      <c r="B18" s="41" t="s">
        <v>725</v>
      </c>
      <c r="C18" s="42" t="s">
        <v>726</v>
      </c>
      <c r="D18" s="48" t="s">
        <v>727</v>
      </c>
      <c r="E18" s="42" t="s">
        <v>728</v>
      </c>
      <c r="F18" s="44" t="s">
        <v>690</v>
      </c>
      <c r="G18" s="41" t="s">
        <v>691</v>
      </c>
      <c r="H18" s="42"/>
    </row>
    <row r="19" spans="1:8" ht="25.5">
      <c r="A19" s="41" t="s">
        <v>685</v>
      </c>
      <c r="B19" s="41" t="s">
        <v>729</v>
      </c>
      <c r="C19" s="42" t="s">
        <v>730</v>
      </c>
      <c r="D19" s="49" t="s">
        <v>731</v>
      </c>
      <c r="E19" s="42" t="s">
        <v>732</v>
      </c>
      <c r="F19" s="44" t="s">
        <v>690</v>
      </c>
      <c r="G19" s="41" t="s">
        <v>691</v>
      </c>
      <c r="H19" s="42"/>
    </row>
    <row r="20" spans="1:8" ht="38.25">
      <c r="A20" s="41" t="s">
        <v>685</v>
      </c>
      <c r="B20" s="41" t="s">
        <v>733</v>
      </c>
      <c r="C20" s="42" t="s">
        <v>734</v>
      </c>
      <c r="D20" s="43" t="s">
        <v>688</v>
      </c>
      <c r="E20" s="42" t="s">
        <v>735</v>
      </c>
      <c r="F20" s="44" t="s">
        <v>690</v>
      </c>
      <c r="G20" s="41" t="s">
        <v>691</v>
      </c>
      <c r="H20" s="42"/>
    </row>
    <row r="21" spans="1:8" ht="51">
      <c r="A21" s="41" t="s">
        <v>685</v>
      </c>
      <c r="B21" s="41" t="s">
        <v>736</v>
      </c>
      <c r="C21" s="42" t="s">
        <v>737</v>
      </c>
      <c r="D21" s="43" t="s">
        <v>688</v>
      </c>
      <c r="E21" s="42" t="s">
        <v>738</v>
      </c>
      <c r="F21" s="44" t="s">
        <v>690</v>
      </c>
      <c r="G21" s="41" t="s">
        <v>691</v>
      </c>
      <c r="H21" s="42"/>
    </row>
    <row r="22" spans="1:8" ht="38.25">
      <c r="A22" s="41" t="s">
        <v>685</v>
      </c>
      <c r="B22" s="41" t="s">
        <v>739</v>
      </c>
      <c r="C22" s="42" t="s">
        <v>740</v>
      </c>
      <c r="D22" s="43" t="s">
        <v>688</v>
      </c>
      <c r="E22" s="42" t="s">
        <v>741</v>
      </c>
      <c r="F22" s="44" t="s">
        <v>690</v>
      </c>
      <c r="G22" s="41" t="s">
        <v>691</v>
      </c>
      <c r="H22" s="42"/>
    </row>
    <row r="23" spans="1:8">
      <c r="A23" s="18" t="s">
        <v>409</v>
      </c>
      <c r="B23" s="73" t="s">
        <v>209</v>
      </c>
      <c r="C23" s="73"/>
      <c r="D23" s="73"/>
      <c r="E23" s="73"/>
      <c r="F23" s="73"/>
      <c r="G23" s="73"/>
      <c r="H23" s="73"/>
    </row>
    <row r="24" spans="1:8">
      <c r="A24" s="19" t="s">
        <v>409</v>
      </c>
      <c r="B24" s="19"/>
      <c r="C24" s="20"/>
      <c r="D24" s="19"/>
      <c r="E24" s="20"/>
      <c r="F24" s="19"/>
      <c r="G24" s="19"/>
      <c r="H24" s="20"/>
    </row>
    <row r="25" spans="1:8">
      <c r="A25" s="19" t="s">
        <v>409</v>
      </c>
      <c r="B25" s="19"/>
      <c r="C25" s="20"/>
      <c r="D25" s="19"/>
      <c r="E25" s="20"/>
      <c r="F25" s="19"/>
      <c r="G25" s="19"/>
      <c r="H25" s="20"/>
    </row>
    <row r="26" spans="1:8">
      <c r="A26" s="19" t="s">
        <v>409</v>
      </c>
      <c r="B26" s="19"/>
      <c r="C26" s="20"/>
      <c r="D26" s="19"/>
      <c r="E26" s="20"/>
      <c r="F26" s="19"/>
      <c r="G26" s="19"/>
      <c r="H26" s="20"/>
    </row>
    <row r="27" spans="1:8">
      <c r="A27" s="19" t="s">
        <v>409</v>
      </c>
      <c r="B27" s="19"/>
      <c r="C27" s="20"/>
      <c r="D27" s="19"/>
      <c r="E27" s="20"/>
      <c r="F27" s="19"/>
      <c r="G27" s="19"/>
      <c r="H27" s="20"/>
    </row>
    <row r="28" spans="1:8">
      <c r="A28" s="19" t="s">
        <v>409</v>
      </c>
      <c r="B28" s="19"/>
      <c r="C28" s="20"/>
      <c r="D28" s="19"/>
      <c r="E28" s="20"/>
      <c r="F28" s="19"/>
      <c r="G28" s="19"/>
      <c r="H28" s="20"/>
    </row>
    <row r="29" spans="1:8">
      <c r="A29" s="18" t="s">
        <v>742</v>
      </c>
      <c r="B29" s="73" t="s">
        <v>252</v>
      </c>
      <c r="C29" s="73"/>
      <c r="D29" s="73"/>
      <c r="E29" s="73"/>
      <c r="F29" s="73"/>
      <c r="G29" s="73"/>
      <c r="H29" s="73"/>
    </row>
    <row r="30" spans="1:8" ht="25.5">
      <c r="A30" s="19" t="s">
        <v>742</v>
      </c>
      <c r="B30" s="19" t="s">
        <v>743</v>
      </c>
      <c r="C30" s="20" t="s">
        <v>744</v>
      </c>
      <c r="D30" s="19" t="s">
        <v>688</v>
      </c>
      <c r="E30" s="20" t="s">
        <v>745</v>
      </c>
      <c r="F30" s="19" t="s">
        <v>690</v>
      </c>
      <c r="G30" s="19"/>
      <c r="H30" s="20"/>
    </row>
    <row r="31" spans="1:8" ht="25.5">
      <c r="A31" s="19" t="s">
        <v>742</v>
      </c>
      <c r="B31" s="19" t="s">
        <v>746</v>
      </c>
      <c r="C31" s="20" t="s">
        <v>747</v>
      </c>
      <c r="D31" s="19" t="s">
        <v>748</v>
      </c>
      <c r="E31" s="20" t="s">
        <v>749</v>
      </c>
      <c r="F31" s="19" t="s">
        <v>690</v>
      </c>
      <c r="G31" s="19"/>
      <c r="H31" s="20"/>
    </row>
    <row r="32" spans="1:8" ht="25.5">
      <c r="A32" s="19" t="s">
        <v>742</v>
      </c>
      <c r="B32" s="19" t="s">
        <v>750</v>
      </c>
      <c r="C32" s="20" t="s">
        <v>751</v>
      </c>
      <c r="D32" s="19" t="s">
        <v>752</v>
      </c>
      <c r="E32" s="20" t="s">
        <v>753</v>
      </c>
      <c r="F32" s="19" t="s">
        <v>690</v>
      </c>
      <c r="G32" s="19"/>
      <c r="H32" s="20"/>
    </row>
    <row r="33" spans="1:8" ht="25.5">
      <c r="A33" s="19" t="s">
        <v>742</v>
      </c>
      <c r="B33" s="19" t="s">
        <v>754</v>
      </c>
      <c r="C33" s="20" t="s">
        <v>755</v>
      </c>
      <c r="D33" s="19" t="s">
        <v>752</v>
      </c>
      <c r="E33" s="20" t="s">
        <v>756</v>
      </c>
      <c r="F33" s="19" t="s">
        <v>690</v>
      </c>
      <c r="G33" s="19"/>
      <c r="H33" s="20"/>
    </row>
    <row r="34" spans="1:8" ht="25.5">
      <c r="A34" s="19" t="s">
        <v>742</v>
      </c>
      <c r="B34" s="19" t="s">
        <v>757</v>
      </c>
      <c r="C34" s="20" t="s">
        <v>758</v>
      </c>
      <c r="D34" s="19" t="s">
        <v>759</v>
      </c>
      <c r="E34" s="20" t="s">
        <v>760</v>
      </c>
      <c r="F34" s="19" t="s">
        <v>690</v>
      </c>
      <c r="G34" s="19"/>
      <c r="H34" s="20"/>
    </row>
    <row r="35" spans="1:8">
      <c r="A35" s="18" t="s">
        <v>414</v>
      </c>
      <c r="B35" s="73" t="s">
        <v>308</v>
      </c>
      <c r="C35" s="73"/>
      <c r="D35" s="73"/>
      <c r="E35" s="73"/>
      <c r="F35" s="73"/>
      <c r="G35" s="73"/>
      <c r="H35" s="73"/>
    </row>
    <row r="36" spans="1:8" ht="25.5">
      <c r="A36" s="19" t="s">
        <v>414</v>
      </c>
      <c r="B36" s="19" t="s">
        <v>761</v>
      </c>
      <c r="C36" s="20" t="s">
        <v>762</v>
      </c>
      <c r="D36" s="19" t="s">
        <v>688</v>
      </c>
      <c r="E36" s="20" t="s">
        <v>763</v>
      </c>
      <c r="F36" s="19" t="s">
        <v>690</v>
      </c>
      <c r="G36" s="19"/>
      <c r="H36" s="20"/>
    </row>
    <row r="37" spans="1:8" ht="25.5">
      <c r="A37" s="19" t="s">
        <v>414</v>
      </c>
      <c r="B37" s="19" t="s">
        <v>764</v>
      </c>
      <c r="C37" s="20" t="s">
        <v>765</v>
      </c>
      <c r="D37" s="19" t="s">
        <v>752</v>
      </c>
      <c r="E37" s="20" t="s">
        <v>766</v>
      </c>
      <c r="F37" s="19" t="s">
        <v>690</v>
      </c>
      <c r="G37" s="19"/>
      <c r="H37" s="20"/>
    </row>
    <row r="38" spans="1:8" ht="25.5">
      <c r="A38" s="19" t="s">
        <v>414</v>
      </c>
      <c r="B38" s="19" t="s">
        <v>767</v>
      </c>
      <c r="C38" s="20" t="s">
        <v>768</v>
      </c>
      <c r="D38" s="19" t="s">
        <v>752</v>
      </c>
      <c r="E38" s="20" t="s">
        <v>769</v>
      </c>
      <c r="F38" s="19" t="s">
        <v>690</v>
      </c>
      <c r="G38" s="19"/>
      <c r="H38" s="20"/>
    </row>
    <row r="39" spans="1:8" ht="25.5">
      <c r="A39" s="19" t="s">
        <v>414</v>
      </c>
      <c r="B39" s="19" t="s">
        <v>770</v>
      </c>
      <c r="C39" s="20" t="s">
        <v>771</v>
      </c>
      <c r="D39" s="19" t="s">
        <v>748</v>
      </c>
      <c r="E39" s="20" t="s">
        <v>772</v>
      </c>
      <c r="F39" s="19" t="s">
        <v>690</v>
      </c>
      <c r="G39" s="19"/>
      <c r="H39" s="20"/>
    </row>
    <row r="40" spans="1:8" ht="25.5">
      <c r="A40" s="19" t="s">
        <v>414</v>
      </c>
      <c r="B40" s="19" t="s">
        <v>773</v>
      </c>
      <c r="C40" s="20" t="s">
        <v>774</v>
      </c>
      <c r="D40" s="19" t="s">
        <v>775</v>
      </c>
      <c r="E40" s="20" t="s">
        <v>776</v>
      </c>
      <c r="F40" s="19" t="s">
        <v>690</v>
      </c>
      <c r="G40" s="19"/>
      <c r="H40" s="20"/>
    </row>
    <row r="41" spans="1:8">
      <c r="A41" s="18" t="s">
        <v>420</v>
      </c>
      <c r="B41" s="73" t="s">
        <v>345</v>
      </c>
      <c r="C41" s="73"/>
      <c r="D41" s="73"/>
      <c r="E41" s="73"/>
      <c r="F41" s="73"/>
      <c r="G41" s="73"/>
      <c r="H41" s="73"/>
    </row>
    <row r="42" spans="1:8" ht="25.5">
      <c r="A42" s="19" t="s">
        <v>420</v>
      </c>
      <c r="B42" s="19" t="s">
        <v>777</v>
      </c>
      <c r="C42" s="20" t="s">
        <v>778</v>
      </c>
      <c r="D42" s="19" t="s">
        <v>688</v>
      </c>
      <c r="E42" s="20" t="s">
        <v>779</v>
      </c>
      <c r="F42" s="19" t="s">
        <v>690</v>
      </c>
      <c r="G42" s="19"/>
      <c r="H42" s="20"/>
    </row>
    <row r="43" spans="1:8" ht="25.5">
      <c r="A43" s="19" t="s">
        <v>420</v>
      </c>
      <c r="B43" s="19" t="s">
        <v>780</v>
      </c>
      <c r="C43" s="20" t="s">
        <v>781</v>
      </c>
      <c r="D43" s="19" t="s">
        <v>752</v>
      </c>
      <c r="E43" s="20" t="s">
        <v>782</v>
      </c>
      <c r="F43" s="19" t="s">
        <v>690</v>
      </c>
      <c r="G43" s="19"/>
      <c r="H43" s="20"/>
    </row>
    <row r="44" spans="1:8" ht="25.5">
      <c r="A44" s="19" t="s">
        <v>420</v>
      </c>
      <c r="B44" s="19" t="s">
        <v>783</v>
      </c>
      <c r="C44" s="20" t="s">
        <v>784</v>
      </c>
      <c r="D44" s="19" t="s">
        <v>752</v>
      </c>
      <c r="E44" s="20" t="s">
        <v>785</v>
      </c>
      <c r="F44" s="19" t="s">
        <v>690</v>
      </c>
      <c r="G44" s="19"/>
      <c r="H44" s="20"/>
    </row>
    <row r="45" spans="1:8" ht="38.25">
      <c r="A45" s="19" t="s">
        <v>420</v>
      </c>
      <c r="B45" s="19" t="s">
        <v>786</v>
      </c>
      <c r="C45" s="20" t="s">
        <v>787</v>
      </c>
      <c r="D45" s="19" t="s">
        <v>788</v>
      </c>
      <c r="E45" s="20" t="s">
        <v>789</v>
      </c>
      <c r="F45" s="19" t="s">
        <v>690</v>
      </c>
      <c r="G45" s="19"/>
      <c r="H45" s="20"/>
    </row>
    <row r="46" spans="1:8">
      <c r="A46" s="17" t="s">
        <v>497</v>
      </c>
      <c r="B46" s="82" t="s">
        <v>498</v>
      </c>
      <c r="C46" s="82"/>
      <c r="D46" s="82"/>
      <c r="E46" s="82"/>
      <c r="F46" s="82"/>
      <c r="G46" s="82"/>
      <c r="H46" s="82"/>
    </row>
    <row r="47" spans="1:8">
      <c r="A47" s="18" t="s">
        <v>499</v>
      </c>
      <c r="B47" s="73" t="s">
        <v>500</v>
      </c>
      <c r="C47" s="73"/>
      <c r="D47" s="73"/>
      <c r="E47" s="73"/>
      <c r="F47" s="73"/>
      <c r="G47" s="73"/>
      <c r="H47" s="73"/>
    </row>
    <row r="48" spans="1:8" ht="25.5">
      <c r="A48" s="19" t="s">
        <v>499</v>
      </c>
      <c r="B48" s="19" t="s">
        <v>790</v>
      </c>
      <c r="C48" s="20" t="s">
        <v>791</v>
      </c>
      <c r="D48" s="19" t="s">
        <v>688</v>
      </c>
      <c r="E48" s="20" t="s">
        <v>792</v>
      </c>
      <c r="F48" s="19" t="s">
        <v>690</v>
      </c>
      <c r="G48" s="19"/>
      <c r="H48" s="20"/>
    </row>
    <row r="49" spans="1:8" ht="25.5">
      <c r="A49" s="19" t="s">
        <v>499</v>
      </c>
      <c r="B49" s="19" t="s">
        <v>793</v>
      </c>
      <c r="C49" s="20" t="s">
        <v>794</v>
      </c>
      <c r="D49" s="19" t="s">
        <v>752</v>
      </c>
      <c r="E49" s="20" t="s">
        <v>795</v>
      </c>
      <c r="F49" s="19" t="s">
        <v>690</v>
      </c>
      <c r="G49" s="19"/>
      <c r="H49" s="20"/>
    </row>
    <row r="50" spans="1:8" ht="38.25">
      <c r="A50" s="19" t="s">
        <v>499</v>
      </c>
      <c r="B50" s="19" t="s">
        <v>796</v>
      </c>
      <c r="C50" s="20" t="s">
        <v>797</v>
      </c>
      <c r="D50" s="19" t="s">
        <v>798</v>
      </c>
      <c r="E50" s="20" t="s">
        <v>799</v>
      </c>
      <c r="F50" s="19" t="s">
        <v>690</v>
      </c>
      <c r="G50" s="19"/>
      <c r="H50" s="20"/>
    </row>
    <row r="51" spans="1:8" ht="25.5">
      <c r="A51" s="19" t="s">
        <v>499</v>
      </c>
      <c r="B51" s="19" t="s">
        <v>800</v>
      </c>
      <c r="C51" s="20" t="s">
        <v>801</v>
      </c>
      <c r="D51" s="19" t="s">
        <v>688</v>
      </c>
      <c r="E51" s="20" t="s">
        <v>802</v>
      </c>
      <c r="F51" s="19" t="s">
        <v>690</v>
      </c>
      <c r="G51" s="19"/>
      <c r="H51" s="20"/>
    </row>
    <row r="52" spans="1:8">
      <c r="A52" s="18" t="s">
        <v>429</v>
      </c>
      <c r="B52" s="73" t="s">
        <v>540</v>
      </c>
      <c r="C52" s="73"/>
      <c r="D52" s="73"/>
      <c r="E52" s="73"/>
      <c r="F52" s="73"/>
      <c r="G52" s="73"/>
      <c r="H52" s="73"/>
    </row>
    <row r="53" spans="1:8" ht="25.5">
      <c r="A53" s="19" t="s">
        <v>429</v>
      </c>
      <c r="B53" s="19" t="s">
        <v>803</v>
      </c>
      <c r="C53" s="20" t="s">
        <v>804</v>
      </c>
      <c r="D53" s="19" t="s">
        <v>688</v>
      </c>
      <c r="E53" s="20" t="s">
        <v>805</v>
      </c>
      <c r="F53" s="19" t="s">
        <v>690</v>
      </c>
      <c r="G53" s="19"/>
      <c r="H53" s="20"/>
    </row>
    <row r="54" spans="1:8" ht="25.5">
      <c r="A54" s="19" t="s">
        <v>429</v>
      </c>
      <c r="B54" s="19" t="s">
        <v>806</v>
      </c>
      <c r="C54" s="20" t="s">
        <v>807</v>
      </c>
      <c r="D54" s="19" t="s">
        <v>752</v>
      </c>
      <c r="E54" s="20" t="s">
        <v>808</v>
      </c>
      <c r="F54" s="19" t="s">
        <v>690</v>
      </c>
      <c r="G54" s="19"/>
      <c r="H54" s="20"/>
    </row>
    <row r="55" spans="1:8" ht="38.25">
      <c r="A55" s="19" t="s">
        <v>429</v>
      </c>
      <c r="B55" s="19" t="s">
        <v>809</v>
      </c>
      <c r="C55" s="20" t="s">
        <v>810</v>
      </c>
      <c r="D55" s="19" t="s">
        <v>798</v>
      </c>
      <c r="E55" s="20" t="s">
        <v>811</v>
      </c>
      <c r="F55" s="19" t="s">
        <v>690</v>
      </c>
      <c r="G55" s="19"/>
      <c r="H55" s="20"/>
    </row>
    <row r="56" spans="1:8">
      <c r="A56" s="18" t="s">
        <v>433</v>
      </c>
      <c r="B56" s="73" t="s">
        <v>575</v>
      </c>
      <c r="C56" s="73"/>
      <c r="D56" s="73"/>
      <c r="E56" s="73"/>
      <c r="F56" s="73"/>
      <c r="G56" s="73"/>
      <c r="H56" s="73"/>
    </row>
    <row r="57" spans="1:8" ht="25.5">
      <c r="A57" s="19" t="s">
        <v>433</v>
      </c>
      <c r="B57" s="19" t="s">
        <v>812</v>
      </c>
      <c r="C57" s="20" t="s">
        <v>813</v>
      </c>
      <c r="D57" s="19" t="s">
        <v>814</v>
      </c>
      <c r="E57" s="20" t="s">
        <v>815</v>
      </c>
      <c r="F57" s="19" t="s">
        <v>690</v>
      </c>
      <c r="G57" s="19"/>
      <c r="H57" s="20"/>
    </row>
    <row r="58" spans="1:8" ht="25.5">
      <c r="A58" s="19" t="s">
        <v>433</v>
      </c>
      <c r="B58" s="19" t="s">
        <v>816</v>
      </c>
      <c r="C58" s="20" t="s">
        <v>817</v>
      </c>
      <c r="D58" s="19" t="s">
        <v>759</v>
      </c>
      <c r="E58" s="20" t="s">
        <v>818</v>
      </c>
      <c r="F58" s="19" t="s">
        <v>690</v>
      </c>
      <c r="G58" s="19"/>
      <c r="H58" s="20"/>
    </row>
    <row r="59" spans="1:8" ht="25.5">
      <c r="A59" s="19" t="s">
        <v>433</v>
      </c>
      <c r="B59" s="19" t="s">
        <v>819</v>
      </c>
      <c r="C59" s="20" t="s">
        <v>820</v>
      </c>
      <c r="D59" s="19" t="s">
        <v>688</v>
      </c>
      <c r="E59" s="20" t="s">
        <v>821</v>
      </c>
      <c r="F59" s="19" t="s">
        <v>690</v>
      </c>
      <c r="G59" s="19"/>
      <c r="H59" s="20"/>
    </row>
  </sheetData>
  <mergeCells count="12">
    <mergeCell ref="B56:H56"/>
    <mergeCell ref="B35:H35"/>
    <mergeCell ref="B41:H41"/>
    <mergeCell ref="B46:H46"/>
    <mergeCell ref="B47:H47"/>
    <mergeCell ref="B52:H52"/>
    <mergeCell ref="A1:H1"/>
    <mergeCell ref="A2:H2"/>
    <mergeCell ref="B5:H5"/>
    <mergeCell ref="B23:H23"/>
    <mergeCell ref="B29:H29"/>
    <mergeCell ref="A6:H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715328b-8ae0-4f33-a453-05d5a8c7b3ba">
      <Terms xmlns="http://schemas.microsoft.com/office/infopath/2007/PartnerControls"/>
    </lcf76f155ced4ddcb4097134ff3c332f>
    <TaxCatchAll xmlns="d5efc979-28da-4a82-9acd-9f92a431cf01" xsi:nil="true"/>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18B44D123A4044EA11428D7BDFE06AC" ma:contentTypeVersion="21" ma:contentTypeDescription="Create a new document." ma:contentTypeScope="" ma:versionID="404c8c002afd77d2a4793e0551dcd6aa">
  <xsd:schema xmlns:xsd="http://www.w3.org/2001/XMLSchema" xmlns:xs="http://www.w3.org/2001/XMLSchema" xmlns:p="http://schemas.microsoft.com/office/2006/metadata/properties" xmlns:ns1="http://schemas.microsoft.com/sharepoint/v3" xmlns:ns2="e715328b-8ae0-4f33-a453-05d5a8c7b3ba" xmlns:ns3="d5efc979-28da-4a82-9acd-9f92a431cf01" targetNamespace="http://schemas.microsoft.com/office/2006/metadata/properties" ma:root="true" ma:fieldsID="5089ff5baae8088342ce1e891503b0f4" ns1:_="" ns2:_="" ns3:_="">
    <xsd:import namespace="http://schemas.microsoft.com/sharepoint/v3"/>
    <xsd:import namespace="e715328b-8ae0-4f33-a453-05d5a8c7b3ba"/>
    <xsd:import namespace="d5efc979-28da-4a82-9acd-9f92a431cf0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element ref="ns2:MediaServiceLocation" minOccurs="0"/>
                <xsd:element ref="ns2:MediaServiceBilling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Unified Compliance Policy Properties" ma:hidden="true" ma:internalName="_ip_UnifiedCompliancePolicyProperties">
      <xsd:simpleType>
        <xsd:restriction base="dms:Note"/>
      </xsd:simpleType>
    </xsd:element>
    <xsd:element name="_ip_UnifiedCompliancePolicyUIAction" ma:index="2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715328b-8ae0-4f33-a453-05d5a8c7b3b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8a8e937e-a000-4b8d-b995-2f10e0fc07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5efc979-28da-4a82-9acd-9f92a431cf0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7d88bb84-bc3c-4652-9b53-a7f42c11be64}" ma:internalName="TaxCatchAll" ma:showField="CatchAllData" ma:web="d5efc979-28da-4a82-9acd-9f92a431cf0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FEAFF71-1A6C-42C4-A914-0E4503E29C57}"/>
</file>

<file path=customXml/itemProps2.xml><?xml version="1.0" encoding="utf-8"?>
<ds:datastoreItem xmlns:ds="http://schemas.openxmlformats.org/officeDocument/2006/customXml" ds:itemID="{D42D6C2B-D1B2-46B4-8CF0-2A1217434202}"/>
</file>

<file path=customXml/itemProps3.xml><?xml version="1.0" encoding="utf-8"?>
<ds:datastoreItem xmlns:ds="http://schemas.openxmlformats.org/officeDocument/2006/customXml" ds:itemID="{6693215C-6E91-4EA6-87D7-4E379811F61F}"/>
</file>

<file path=docMetadata/LabelInfo.xml><?xml version="1.0" encoding="utf-8"?>
<clbl:labelList xmlns:clbl="http://schemas.microsoft.com/office/2020/mipLabelMetadata">
  <clbl:label id="{90754b47-c413-4aa1-bfc3-c33089241f4f}" enabled="1" method="Standard" siteId="{e339bd4b-2e3b-4035-a452-2112d502f2ff}"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SAINT-GOBAIN</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NGUYEN DANG, Khanh</dc:creator>
  <cp:keywords/>
  <dc:description/>
  <cp:lastModifiedBy>LUONG NGOC, Phuong</cp:lastModifiedBy>
  <cp:revision/>
  <dcterms:created xsi:type="dcterms:W3CDTF">2026-07-01T04:04:01Z</dcterms:created>
  <dcterms:modified xsi:type="dcterms:W3CDTF">2026-07-30T05:05:55Z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0x010100218B44D123A4044EA11428D7BDFE06AC</vt:lpwstr>
  </property>
  <property fmtid="{D5CDD505-2E9C-101B-9397-08002B2CF9AE}" pid="3" name="MediaServiceImageTags">
    <vt:lpwstr/>
  </property>
</Properties>
</file>